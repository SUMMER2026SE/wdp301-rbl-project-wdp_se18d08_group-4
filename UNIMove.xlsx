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 sheetId="1" r:id="rId5"/>
    <sheet state="visible" name="Task" sheetId="2" r:id="rId6"/>
    <sheet state="visible" name="Sheet8" sheetId="3" r:id="rId7"/>
  </sheets>
  <definedNames/>
  <calcPr/>
</workbook>
</file>

<file path=xl/sharedStrings.xml><?xml version="1.0" encoding="utf-8"?>
<sst xmlns="http://schemas.openxmlformats.org/spreadsheetml/2006/main" count="1477" uniqueCount="659">
  <si>
    <r>
      <rPr>
        <rFont val="Arial"/>
        <b/>
        <color theme="1"/>
      </rPr>
      <t xml:space="preserve">Link DOC: </t>
    </r>
    <r>
      <rPr>
        <rFont val="Arial"/>
        <color theme="1"/>
      </rPr>
      <t>UniMove – Final Feature List</t>
    </r>
  </si>
  <si>
    <r>
      <rPr>
        <rFont val="Arial"/>
        <b/>
        <color theme="1"/>
      </rPr>
      <t>Link Tài liệu:</t>
    </r>
    <r>
      <rPr>
        <rFont val="Arial"/>
        <color theme="1"/>
      </rPr>
      <t xml:space="preserve"> UNIMove Tài liệu</t>
    </r>
  </si>
  <si>
    <r>
      <rPr>
        <rFont val="Arial"/>
        <b/>
        <color theme="1"/>
      </rPr>
      <t>Link Flow Nghiệp Vụ:</t>
    </r>
    <r>
      <rPr>
        <rFont val="Arial"/>
        <color theme="1"/>
      </rPr>
      <t xml:space="preserve"> FLOW NGHIỆP VỤ</t>
    </r>
  </si>
  <si>
    <r>
      <rPr>
        <rFont val="Arial"/>
        <b/>
        <color theme="1"/>
      </rPr>
      <t xml:space="preserve">Link UseCase: </t>
    </r>
    <r>
      <rPr>
        <rFont val="Arial"/>
        <color theme="1"/>
      </rPr>
      <t>UniMove UseCase</t>
    </r>
  </si>
  <si>
    <r>
      <rPr>
        <rFont val="Arial"/>
        <b/>
        <color theme="1"/>
      </rPr>
      <t>Link Kiến Trúc Hệ Thống:</t>
    </r>
    <r>
      <rPr>
        <rFont val="Arial"/>
        <color theme="1"/>
      </rPr>
      <t xml:space="preserve"> Kiến trúc hệ thống</t>
    </r>
  </si>
  <si>
    <r>
      <rPr>
        <rFont val="Arial"/>
        <b/>
        <color theme="1"/>
      </rPr>
      <t>Link Database:</t>
    </r>
    <r>
      <rPr>
        <rFont val="Arial"/>
        <color theme="1"/>
      </rPr>
      <t xml:space="preserve"> database</t>
    </r>
  </si>
  <si>
    <r>
      <rPr>
        <b/>
      </rPr>
      <t>Link UI:</t>
    </r>
    <r>
      <rPr/>
      <t xml:space="preserve"> </t>
    </r>
    <r>
      <rPr>
        <color rgb="FF1155CC"/>
        <u/>
      </rPr>
      <t>https://stitch.withgoogle.com/projects/13555156844084547609</t>
    </r>
  </si>
  <si>
    <r>
      <rPr>
        <b/>
      </rPr>
      <t>Link Database diagram</t>
    </r>
    <r>
      <rPr/>
      <t xml:space="preserve">: </t>
    </r>
    <r>
      <rPr>
        <color rgb="FF1155CC"/>
        <u/>
      </rPr>
      <t>https://dbdiagram.io/d/Copy-of-FoodStackDB-69a78bfaa3f0aa31e1b90cc5</t>
    </r>
  </si>
  <si>
    <r>
      <rPr>
        <b/>
      </rPr>
      <t xml:space="preserve">Link database supabase: </t>
    </r>
    <r>
      <rPr>
        <b/>
        <color rgb="FF1155CC"/>
        <u/>
      </rPr>
      <t>https://supabase.com/dashboard/project/jtwsxeyxpzmeccgmxzln</t>
    </r>
  </si>
  <si>
    <t>https://drive.google.com/file/d/1dMhWiFgDQV36t4666JV8Ph0foYCzJTxl/view?usp=drive_link</t>
  </si>
  <si>
    <t>Diagram</t>
  </si>
  <si>
    <r>
      <rPr>
        <rFont val="Arial"/>
        <b/>
        <color theme="1"/>
      </rPr>
      <t>Link .env :</t>
    </r>
    <r>
      <rPr>
        <rFont val="Arial"/>
        <color theme="1"/>
      </rPr>
      <t xml:space="preserve"> .env</t>
    </r>
  </si>
  <si>
    <t>UNIMOVE</t>
  </si>
  <si>
    <t>Task ID</t>
  </si>
  <si>
    <t>Use Case ID</t>
  </si>
  <si>
    <t>Task Type</t>
  </si>
  <si>
    <t>Task</t>
  </si>
  <si>
    <t>Assignee</t>
  </si>
  <si>
    <t>Priority</t>
  </si>
  <si>
    <t>Status</t>
  </si>
  <si>
    <t>% Hoàn thành</t>
  </si>
  <si>
    <t>Progress Bar</t>
  </si>
  <si>
    <t>Due Date</t>
  </si>
  <si>
    <t>Note</t>
  </si>
  <si>
    <t>Database</t>
  </si>
  <si>
    <t>Làm database</t>
  </si>
  <si>
    <t>Ngọc Quyên</t>
  </si>
  <si>
    <t>Critical</t>
  </si>
  <si>
    <t>Completed</t>
  </si>
  <si>
    <t>Documentation</t>
  </si>
  <si>
    <t>CUSTOMER APP USE CASES</t>
  </si>
  <si>
    <t>UC-01</t>
  </si>
  <si>
    <t>API</t>
  </si>
  <si>
    <t>Đăng ký tài khoản (xác thực email)</t>
  </si>
  <si>
    <t>Hoàng Vũ</t>
  </si>
  <si>
    <t>In Progress</t>
  </si>
  <si>
    <t>【Yêu cầu cô】Đăng ký có xác thực địa chỉ email.【Giao diện】register_page.dart; customer_auth_repository.signUp(); route /register.【API】POST /api/auth/register {email, password, full_name, phone, student_id?, university?}.【Database】Supabase auth.signUp email_confirm=true: user lưu auth.users (email, encrypted_password bcrypt — KHÔNG lưu password vào profiles); profiles qua trigger handle_new_user (manual_fix_step5): id, email, full_name, phone, role=customer, status=active/pending_verification tùy email confirmed.【Supabase Dashboard】Authentication → Email → Enable confirm email; template xác nhận tiếng Việt.【Flow】Đăng ký → gửi mail xác nhận → user bấm link → email_confirmed_at set → mới cho login (BE-003).【Hoàn thành khi】Chưa confirm thì login trả lỗi rõ; sau confirm login OK; Flutter hiển thị "Kiểm tra email".</t>
  </si>
  <si>
    <t>Cấu hình mã hóa mật khẩu</t>
  </si>
  <si>
    <t>【Yêu cầu cô】Mã hóa password trong DB.【Thực tế Supabase】Password chỉ nằm auth.users.encrypted_password (bcrypt/scrypt) — KHÔNG thêm cột password vào profiles (migration 01 không có password — đúng thiết kế).【Việc làm】Document trong docs/nodejs-api.md; code review đảm bảo không log/hash tay; Node API không nhận lưu password plain vào PostgreSQL.【Kiểm tra】SQL profiles không có cột password; mọi đăng ký/đổi MK qua Supabase Auth API.【Hoàn thành khi】Cô review pass: mật khẩu mã hóa phía Auth; profiles chỉ metadata.</t>
  </si>
  <si>
    <t>UC-02</t>
  </si>
  <si>
    <t>Đăng nhập email/mật khẩu</t>
  </si>
  <si>
    <t>【Yêu cầu cô】Đăng nhập.【Giao diện】login_page.dart; splash_page.dart (session → /home); customer_auth_repository.signIn().【API】POST /api/auth/login {email, password}; GET /api/auth/me Bearer.【Database】JWT session; profiles đọc theo auth.uid.【Rule】Chỉ user email_confirmed_at != null (sau BE-001).【Backend】auth.middleware.js requireAuth.【Hoàn thành khi】login_page dùng API; sai MK 401; chưa xác thực email 403 message rõ.</t>
  </si>
  <si>
    <t>Đăng nhập Google OAuth</t>
  </si>
  <si>
    <t>【Yêu cầu cô】Đăng nhập với Google — THIẾU ở bản task cũ.【Giao diện】login_page — thêm nút "Tiếp tục với Google" (Flutter signInWithOAuth).【API】POST /api/auth/google {id_token} hoặc redirect flow Supabase OAuth; callback /api/auth/callback.【Supabase】Authentication → Providers → Google: Client ID/Secret; redirect URL app.【Database】auth.users provider=google; profiles tạo qua trigger nếu user mới (full_name từ metadata, avatar_url).【Hoàn thành khi】Lần đầu Google tạo profile customer; lần sau login; role vẫn customer.</t>
  </si>
  <si>
    <t>UC-02;UC-18</t>
  </si>
  <si>
    <t>Đăng xuất</t>
  </si>
  <si>
    <t>Song Huy</t>
  </si>
  <si>
    <t>Medium</t>
  </si>
  <si>
    <t>【Yêu cầu cô】Đăng xuất.【Giao diện】profile_page — Đăng xuất → /login; customer_auth_repository.signOut().【API】POST /api/auth/logout.【Database】Revoke refresh token Supabase.【Hoàn thành khi】Token hết hiệu lực; MockAuthSession.clear nếu demo.</t>
  </si>
  <si>
    <t>UC-18</t>
  </si>
  <si>
    <t>Đổi mật khẩu</t>
  </si>
  <si>
    <t>Phương Thảo</t>
  </si>
  <si>
    <t>【Yêu cầu cô】Đổi mật khẩu — THIẾU ở bản cũ (chỉ có Quên MK).【Giao diện】profile_page hoặc financial_settings — màn Đổi mật khẩu (cần thêm UI): old_password, new_password, confirm.【API】POST /api/auth/change-password {current_password, new_password} — Supabase updateUser hoặc reauthenticate + update.【Database】Chỉ auth.users encrypted_password đổi.【Rule】Đổi MK phải đăng nhập; sai MK cũ 400.【Hoàn thành khi】Đổi xong login bằng MK mới.</t>
  </si>
  <si>
    <t>UC-03</t>
  </si>
  <si>
    <t>Quên mật khẩu</t>
  </si>
  <si>
    <t>【Yêu cầu cô】Quên mật khẩu.【Giao diện】login_page link Quên mật khẩu.【API】POST /api/auth/forgot-password {email}; POST /api/auth/reset-password {token, new_password} cho deep link app.【Database】Supabase Auth recovery flow.【Hoàn thành khi】Email reset gửi được; đặt MK mới thành công.</t>
  </si>
  <si>
    <t>Xem profile</t>
  </si>
  <si>
    <t>【Yêu cầu cô】Xem profile.【Giao diện】profile_page.dart _loadProfile — full_name, email, phone, student_id, total_orders, rating, wallet; home_page avatar + tên.【API】GET /api/customers/me only (read-only).【Database】profiles SELECT: full_name, email, phone, avatar_url, student_id, university, loyalty_points, total_orders, total_spent, rating, date_of_birth, gender.【Hoàn thành khi】Không PATCH trên endpoint này; khớp mọi field UI đang hiển thị.</t>
  </si>
  <si>
    <t>Chỉnh sửa profile</t>
  </si>
  <si>
    <t>Low</t>
  </si>
  <si>
    <t>【Yêu cầu cô】Edit profile.【Giao diện】profile_page — form sửa họ tên, SĐT, MSSV, trường (bổ sung nút Lưu nếu chưa có).【API】PATCH /api/customers/me {full_name, phone, student_id, university, date_of_birth?, gender?} — KHÔNG cho sửa email/role qua API.【Database】profiles UPDATE các cột trên; phone chuẩn +84 (CustomerAuthRepository.normalizePhone).【Hoàn thành khi】Lưu thành công refresh GET /me.</t>
  </si>
  <si>
    <t>Đổi ảnh đại diện</t>
  </si>
  <si>
    <t>【Yêu cầu cô】Đổi ảnh đại diện — tách riêng Xem/Sửa text.【Giao diện】profile_page avatar tap; home_page header avatar.【API】POST /api/customers/me/avatar multipart → Supabase Storage bucket avatars/{user_id}/avatar.jpg; PATCH profiles.avatar_url public URL.【Database】profiles.avatar_url TEXT.【Storage】Policy: user chỉ upload folder của mình.【Hoàn thành khi】Đổi ảnh thấy trên profile + home; format jpg/png max 2MB.</t>
  </si>
  <si>
    <t>UC-37</t>
  </si>
  <si>
    <t>API đăng nhập Admin</t>
  </si>
  <si>
    <t>Văn Hoàng</t>
  </si>
  <si>
    <t xml:space="preserve">Not Started </t>
  </si>
  <si>
    <t>【Giao diện】Chưa có admin web — chuẩn bị contract cho phase sau.【API】POST /api/admin/auth/login; middleware requireRole('admin').【Database】profiles.role = enum user_role: 'admin'; seed 20240108000000_seed_data.sql.【Hoàn thành khi】User role admin đăng nhập OK; customer/provider gọi /api/admin/* trả 403.</t>
  </si>
  <si>
    <t>UC-38</t>
  </si>
  <si>
    <t>API dashboard Admin</t>
  </si>
  <si>
    <t>【Giao diện】Admin morning dashboard (spec) — chưa có UI team.【API】GET /api/admin/dashboard.【Database】Aggregate: orders (total_price, status, created_at), payments (amount, status), payment_transactions (transaction_type='commission'), profiles count role customer/provider.【Output gợi ý】gmv_yesterday, new_orders_24h, active_customers, active_providers, commission_total.【Hoàn thành khi】JSON &gt;=5 KPI; query có index orders.created_at.</t>
  </si>
  <si>
    <t>UC-40;UC-41</t>
  </si>
  <si>
    <t>API duyệt Provider</t>
  </si>
  <si>
    <t>【Giao diện】Admin Provider Verification Queue (spec).【API】GET /api/admin/providers/pending; GET /api/admin/providers/:id/documents; PATCH /api/admin/providers/:id/verify {action: approve|reject, notes}.【Database】provider_documents: provider_id, document_type (license/id_card/vehicle_registration/insurance), document_url, is_verified; profiles: verification_status (pending/approved/rejected), is_verified, verified_at, verified_by, verification_notes.【Hoàn thành khi】Approve → is_verified=true; tạo notification type system (BE-056); reject ghi verification_notes.</t>
  </si>
  <si>
    <t>UC-45</t>
  </si>
  <si>
    <t>API xử lý khiếu nại</t>
  </si>
  <si>
    <t>【Giao diện】Admin Dispute (spec).【API】GET /api/admin/disputes; GET /api/admin/disputes/:id; PATCH resolve {refund_amount, resolution_notes}.【Database】disputes (migration 06): order_id, customer_id, provider_id, status, refund_amount...; dispute_messages: dispute_id, sender_id, content.【Hoàn thành khi】Resolve gọi service refund BE-032; orders.status có thể disputed.</t>
  </si>
  <si>
    <t>UC-05</t>
  </si>
  <si>
    <t>API danh sách nhà xe</t>
  </si>
  <si>
    <t>【Giao diện】choose_partner_page.dart — list provider, filter giá/rating, sort; route /booking/partners.【API】Mở rộng GET /api/providers/browse — query: min_price, max_price, min_rating, sort=price_asc|rating_desc|distance, lat, lng, radius_km.【Database】profiles WHERE role='provider' AND is_verified=true AND is_available=true: business_name, rating, total_reviews, base_price, price_per_km, vehicle_type, service_area (TEXT[]), avatar_url.【Backend hiện có】providers.routes.js GET /browse — mở rộng providers.service.js.【Hoàn thành khi】Response khớp PartnerOffer trong booking mock.</t>
  </si>
  <si>
    <t>API chi tiết nhà xe</t>
  </si>
  <si>
    <t>【Giao diện】Trước khi chọn partner — cần detail (hiện chọn thẳng từ list).【API】GET /api/providers/:id — join service_packages (provider_id), 5 reviews mới nhất (reviews.order_id), provider_reviews_summary.【Database】profiles; service_packages (migration 10): name, base_price, vehicle_size, helper_count, includes_insurance; reviews.rating, comment, tags.【Output】verified badge = profiles.is_verified; packages[]; reviews[].</t>
  </si>
  <si>
    <t>UC-08</t>
  </si>
  <si>
    <t>API gói dịch vụ marketplace</t>
  </si>
  <si>
    <t>【Giao diện】service_packages_page.dart — Economy/Standard/Premium, badge, features list; route /booking/packages.【API】GET /api/service-packages?active=true — có thể global hoặc theo provider marketplace.【Database】service_packages: service_type enum (standard/express/premium), vehicle_size, base_price, helper_count, includes_packing, includes_insurance; map sang BookingFlowState ServiceTier.【Hoàn thành khi】Khớp booking_mock_repository fetchPackages; seed migration 08.</t>
  </si>
  <si>
    <t>UC-11;UC-13</t>
  </si>
  <si>
    <t>Đổi MK đã đăng nhập</t>
  </si>
  <si>
    <t>Cá nhân → «Đăng xuất» → xác nhận. App gọi API (nếu có) và xóa đăng nhập trên máy → luôn về màn Đăng nhập, kể cả mất mạng lúc gọi API.</t>
  </si>
  <si>
    <t>UC-12</t>
  </si>
  <si>
    <t>Sửa hồ sơ</t>
  </si>
  <si>
    <t>Cá nhân → «Chỉnh sửa» → sửa tên, SĐT, MSSV, trường… → «Lưu». API cập nhật. Thành công → báo «Đã lưu» → quay Cá nhân thấy thông tin mới. Email không đổi được trên màn này.</t>
  </si>
  <si>
    <t>UC-61</t>
  </si>
  <si>
    <t>Upload avatar</t>
  </si>
  <si>
    <t>Trong Sửa hồ sơ: chạm avatar → chọn ảnh từ máy. API upload ảnh. Thành công → avatar đổi trên form; về Trang chủ / Cá nhân cũng thấy ảnh mới.</t>
  </si>
  <si>
    <t>Số dư ví</t>
  </si>
  <si>
    <t>Người dùng mở tab «Thanh toán» ở thanh menu dưới: app gọi API lấy số dư ví và điểm tích lũy → hiện ở thẻ đầu tab.</t>
  </si>
  <si>
    <t>UC-13;UC-61</t>
  </si>
  <si>
    <t>Địa điểm gần đây</t>
  </si>
  <si>
    <t>Màn /booking/location khi mở: BookingFlowCubit.loadPlaces() (hiện mock — chưa gọi API thật). Danh sách «Gần đây» hiện dưới bản đồ; chạm một dòng → điền địa chỉ đến. Người dùng nhập/chọn xong → bấm «Tiếp tục» → sang /booking/packages (chuyển trọ) hoặc /booking/labor/configure (khuân vác).</t>
  </si>
  <si>
    <t>UC-44;UC-61</t>
  </si>
  <si>
    <t>DS PT thanh toán</t>
  </si>
  <si>
    <t>Tab Thanh toán → «Phương thức thanh toán»: app gọi API lấy PayOS/MoMo đã liên kết → hiện danh sách, mục nào là mặc định.</t>
  </si>
  <si>
    <t>UC-10;UC-12</t>
  </si>
  <si>
    <t>Thêm PT thanh toán</t>
  </si>
  <si>
    <t>Trong Phương thức thanh toán → «Thêm» / liên kết PayOS hoặc MoMo → sau khi liên kết cổng thành công, app gọi API lưu → quay lại danh sách thấy PT mới.</t>
  </si>
  <si>
    <t>Đặt PT mặc định</t>
  </si>
  <si>
    <t>Trên danh sách PT: người dùng chọn «Đặt làm mặc định» → API cập nhật → lần thanh toán sau tự chọn PT đó.</t>
  </si>
  <si>
    <t>Xóa PT</t>
  </si>
  <si>
    <t>Trên danh sách PT: xóa một PT → xác nhận → API xóa → mục biến mất khỏi list.</t>
  </si>
  <si>
    <t>Validate tuyến</t>
  </si>
  <si>
    <t>【Mục tiêu API】Sau khi user nhập đủ điểm lấy + điểm giao, trước khi sang bước tiếp theo — tính km và quận/huyện.
【App hiện tại】Nút «Tiếp tục» trên /booking/location CHƯA gọi validate-route; chỉ kiểm tra destination không rỗng rồi push sang packages. Dev nối API: gọi trong onPressed «Tiếp tục», lưu distance vào BookingFlowCubit. Pass đồ: pickup cố định theo area tin; destination do buyer nhập.</t>
  </si>
  <si>
    <t>UC-04</t>
  </si>
  <si>
    <t>Gói combo</t>
  </si>
  <si>
    <t>Màn «Chọn gói»: app gọi API lấy 3 gói (Tiết kiệm / Tiêu chuẩn / Cao cấp) → người dùng chọn một gói → «Tiếp tục» sang chọn nhà xe (hoặc bảo hiểm tùy luồng app).</t>
  </si>
  <si>
    <t>UC-64</t>
  </si>
  <si>
    <t>Gói bảo hiểm</t>
  </si>
  <si>
    <t>Màn «Bảo hiểm đồ đạc»: app gọi API lấy các gói bảo hiểm (hoặc «Không mua») → chọn → tiếp sang màn thanh toán.</t>
  </si>
  <si>
    <t>UC-20</t>
  </si>
  <si>
    <t>Browse nhà xe</t>
  </si>
  <si>
    <t>Màn «Chọn nhà xe» (hoặc so sánh từ Trang chủ): app gọi API lấy danh sách nhà xe, giá, sao → người dùng lọc/sắp xếp, chọn một nhà → tiếp bước sau (bảo hiểm hoặc thanh toán).</t>
  </si>
  <si>
    <t>UC-22</t>
  </si>
  <si>
    <t>Chi tiết nhà xe</t>
  </si>
  <si>
    <t>Khi cần xem kỹ một nhà xe (tùy UI): app gọi API chi tiết — tên, gói dịch vụ, vài đánh giá gần nhất → người dùng đọc rồi quay lại chọn.</t>
  </si>
  <si>
    <t>UC-23</t>
  </si>
  <si>
    <t>Báo giá khuân vác</t>
  </si>
  <si>
    <t>Luồng «Khuân vác»: sau khi chọn số người/giờ, app gọi API lấy vài báo giá đội khuân vác → người dùng chọn một đội → giá cộng vào tổng thanh toán.</t>
  </si>
  <si>
    <t>UC-26;UC-27</t>
  </si>
  <si>
    <t>Ước tính giá</t>
  </si>
  <si>
    <t>Màn «Thanh toán / Xác nhận đặt xe»: app gọi API tính chi tiết giá (xe, km, bậc, khuân vác, bảo hiểm, giảm giá, tiền cọc 30%). Hiện bảng chi tiết. Mỗi khi đổi mã KM hoặc gói → gọi lại để cập nhật số tiền.</t>
  </si>
  <si>
    <t>UC-29;UC-31</t>
  </si>
  <si>
    <t>Validate mã KM</t>
  </si>
  <si>
    <t>Cùng màn thanh toán: người dùng gõ mã giảm giá → «Áp dụng» → API kiểm tra mã còn hiệu lực không và giảm bao nhiêu → hiện kết quả; nếu hợp lệ thì tính lại tổng tiền (gọi lại API ước tính giá).</t>
  </si>
  <si>
    <t>UC-25</t>
  </si>
  <si>
    <t>Banner KM trang chủ</t>
  </si>
  <si>
    <t>Trang chủ: app gọi API lấy banner khuyến mãi (tiêu đề, ảnh) → hiện carousel. Người dùng bấm banner → nhảy sang màn đặt chuyến hoặc màn app chỉ định.</t>
  </si>
  <si>
    <t>UC-24</t>
  </si>
  <si>
    <t>Danh sách đơn</t>
  </si>
  <si>
    <t>Tab «Hoạt động» hoặc «Lịch sử đơn»: app gọi API lấy danh sách đơn của người dùng (đang chạy / đã xong / lọc trạng thái) → hiện từng thẻ đơn. Chạm một đơn → màn theo dõi chuyến.</t>
  </si>
  <si>
    <t>UC-24;UC-36</t>
  </si>
  <si>
    <t>Chi tiết đơn</t>
  </si>
  <si>
    <t>Khi vào chi tiết/theo dõi một đơn: app có thể gọi API lấy thông tin đầy đủ đơn đó (địa chỉ, giá, trạng thái, nhà xe).</t>
  </si>
  <si>
    <t>UC-34</t>
  </si>
  <si>
    <t>Tạo đơn chuyển xe</t>
  </si>
  <si>
    <t>Màn thanh toán: người dùng bấm «Đặt cọc» / «Xác nhận». Trước hết API tạo đơn hàng (trạng thái chờ nhà xe). Có mã đơn rồi → bước tiếp: API đặt cọc (dòng 38). Thành công cả chuỗi → sang màn theo dõi chuyến. Đơn từ Pass đồ: gửi kèm mã tin pass để hệ thống liên kết.</t>
  </si>
  <si>
    <t>UC-36</t>
  </si>
  <si>
    <t>Tạo đơn khuân vác</t>
  </si>
  <si>
    <t>Luồng chỉ đặt khuân vác (hoặc thêm khuân vác vào đơn đang có): tương tự tạo đơn nhưng loại «khuân vác» — sau đó thanh toán và theo dõi.</t>
  </si>
  <si>
    <t>UC-28</t>
  </si>
  <si>
    <t>Hủy đơn</t>
  </si>
  <si>
    <t>Khi đơn còn cho phép hủy: người dùng bấm «Hủy đơn» → nhập lý do → API hủy → thẻ đơn chuyển «Đã hủy», có thể hoàn tiền theo chính sách (backend xử lý).</t>
  </si>
  <si>
    <t>UC-13</t>
  </si>
  <si>
    <t>Xác nhận hoàn thành</t>
  </si>
  <si>
    <t>Màn theo dõi: sau khi tài xế báo hoàn thành, người dùng bấm «Xác nhận đã nhận hàng / hoàn thành» → API xác nhận → đơn chuyển hoàn tất → gợi ý sang màn đánh giá.</t>
  </si>
  <si>
    <t>UC-30</t>
  </si>
  <si>
    <t>Tracking tổng hợp</t>
  </si>
  <si>
    <t>Màn «Theo dõi chuyến»: app gọi API một lần lấy đủ: trạng thái đơn, thông tin tài xế, vị trí trên bản đồ (nếu có), timeline các bước (đang lấy hàng, đang giao…), nút chat với nhà xe. Kéo refresh → gọi lại.</t>
  </si>
  <si>
    <t>UC-59</t>
  </si>
  <si>
    <t>ETA</t>
  </si>
  <si>
    <t>Cùng màn theo dõi (tùy chọn): app gọi nhẹ API chỉ lấy «còn khoảng X phút» để cập nhật dòng ETA mà không tải cả trang.</t>
  </si>
  <si>
    <t>Realtime</t>
  </si>
  <si>
    <t>Cùng màn theo dõi: ngoài API, app lắng nghe realtime (Supabase) — khi tài xế đổi trạng thái hoặc di chuyển thì bản đồ và timeline tự cập nhật, không cần người dùng tải lại.</t>
  </si>
  <si>
    <t>UC-15;UC-32</t>
  </si>
  <si>
    <t>Gửi đánh giá</t>
  </si>
  <si>
    <t>Sau chuyến xong: màn «Đánh giá» → chọn sao, tag (Đúng giờ, Nhiệt tình…), ghi chú → «Gửi». API lưu đánh giá. Thành công → cảm ơn / màn giới thiệu bạn bè → về lịch sử đơn (đơn đó không hỏi đánh giá nữa).</t>
  </si>
  <si>
    <t>UC-15;UC-32;UC-60</t>
  </si>
  <si>
    <t>Đặt cọc</t>
  </si>
  <si>
    <t>Ngay sau khi tạo đơn (bước 30): app gọi API tạo thanh toán cọc (~30% tổng tiền) → nhận link PayOS hoặc QR → mở cổng thanh toán cho người dùng trả. Trả xong (server nhận webhook) → vào theo dõi chuyến.</t>
  </si>
  <si>
    <t>UC-16;UC-35;UC-58</t>
  </si>
  <si>
    <t>Webhook PayOS</t>
  </si>
  <si>
    <t>PayOS gọi thẳng vào server khi người dùng trả tiền xong — app khách hàng không gọi API này. Người dùng chỉ thấy trạng đơn đổi sau khi quay lại app hoặc nhận thông báo.</t>
  </si>
  <si>
    <t>UC-16</t>
  </si>
  <si>
    <t>Lịch sử GD</t>
  </si>
  <si>
    <t>Tab «Thanh toán»: phần lịch sử — app gọi API danh sách giao dịch (đặt cọc, hoàn tiền…) kèm mã đơn → hiện list. Chạm một dòng → chi tiết giao dịch.</t>
  </si>
  <si>
    <t>UC-58</t>
  </si>
  <si>
    <t>Chi tiết GD</t>
  </si>
  <si>
    <t>Từ lịch sử thanh toán: chạm một giao dịch → app gọi API chi tiết (số tiền, trạng thái, liên kết đơn nào).</t>
  </si>
  <si>
    <t>UC-17</t>
  </si>
  <si>
    <t>Hoàn tiền</t>
  </si>
  <si>
    <t>Thường do hệ thống tự gọi khi hủy đơn — hoàn % tiền cọc. App có thể chỉ hiển thị «Đã hoàn tiền» sau hủy đơn.</t>
  </si>
  <si>
    <t>UC-62</t>
  </si>
  <si>
    <t>Inbox chat đơn</t>
  </si>
  <si>
    <t>【Khác tab «Tin nhắn» dưới cùng — tab đó là khuyến mãi/thông báo】
Chat với nhà xe: từ thẻ đơn đang chạy trên Trang chủ, hoặc Tab Hoạt động, hoặc màn Theo dõi chuyến → nút «Chat» / «Nhắn tin» → /chat/:conversationId (chat_thread_page). API inbox dùng khi có danh sách hội thoại riêng (hiện app có thể mở thẳng từ conversationId trên đơn).</t>
  </si>
  <si>
    <t>Tin nhắn đơn</t>
  </si>
  <si>
    <t>Trong chat với nhà xe: mở một hội thoại → app gọi API lấy lịch sử tin nhắn (phân trang nếu nhiều).</t>
  </si>
  <si>
    <t>Gửi tin đơn</t>
  </si>
  <si>
    <t>Trong chat với nhà xe: người dùng gõ tin → «Gửi» → API lưu tin → bubble hiện trong khung chat.</t>
  </si>
  <si>
    <t>DS thông báo</t>
  </si>
  <si>
    <t>Tab thứ 4 thanh menu (icon Tin nhắn) = messages_tab_page — chỉ thông báo ưu đãi / voucher / hệ thống (comment trong code: Grab-style). KHÔNG phải chat với tài xế. App gọi mock/API notifications → list card → chạm → /notifications/:id hoặc deep link.</t>
  </si>
  <si>
    <t>Badge chưa đọc</t>
  </si>
  <si>
    <t>Khi vào app / sau khi đọc thông báo: app gọi API đếm số chưa đọc → hiện badge số trên tab «Tin nhắn».</t>
  </si>
  <si>
    <t>Chi tiết TB</t>
  </si>
  <si>
    <t>Chạm một thông báo → app gọi API chi tiết (và thường đánh dấu đã đọc) → màn nội dung đầy đủ + nút hành động (Đặt ngay…).</t>
  </si>
  <si>
    <t>Mark read</t>
  </si>
  <si>
    <t>Đánh dấu đã đọc một thông báo (vuốt hoặc khi mở) → API cập nhật → badge giảm.</t>
  </si>
  <si>
    <t>Khám phá tin</t>
  </si>
  <si>
    <t>Tab Pass đồ → «Khám phá»: app gọi API lấy tin người khác đăng (lọc từ khóa/danh mục) → lưới thẻ tin. Chạm tin → màn chi tiết.</t>
  </si>
  <si>
    <t>Tin của tôi</t>
  </si>
  <si>
    <t>Tab Pass đồ → «Tin của tôi»: app gọi API chỉ tin do mình đăng → quản lý, sửa trạng thái, thấy có bao nhiêu người quan tâm.</t>
  </si>
  <si>
    <t>Chi tiết tin</t>
  </si>
  <si>
    <t>Màn chi tiết một tin Pass đồ:
• Người mua: xem giá, mô tả → «Tôi muốn nhận» → chat; nếu đã chốt giá thì thấy «Đặt xe lấy đồ», chưa chốt thì chờ.
• Người bán: thấy «Người quan tâm», vào chat từng khách, «Chốt đơn» / «Huỷ chốt» (nếu khách chưa đặt xe).</t>
  </si>
  <si>
    <t>Đăng tin</t>
  </si>
  <si>
    <t>«Đăng tin mới»: điền tên món, mô tả, loại, tình trạng, khu vực, giá (0 = cho tặng), ảnh → «Đăng». API tạo tin + báo phí đăng tin (nếu có) → có thể mở PayOS trả phí → xong thì tin hiện ở «Tin của tôi» / Khám phá.</t>
  </si>
  <si>
    <t>Trả phí đăng tin</t>
  </si>
  <si>
    <t>Ngay sau đăng tin nếu cần trả phí đăng: app gọi API thanh toán phí → mở PayOS giống đặt cọc → trả xong tin mới hiện công khai.</t>
  </si>
  <si>
    <t>Đổi trạng thái tin</t>
  </si>
  <si>
    <t>Người bán trên tin của mình: đổi trạng thái (đang mở / đã giữ / ẩn tin…) → API cập nhật → chip trạng thái đổi trên UI.</t>
  </si>
  <si>
    <t>Quan tâm tin</t>
  </si>
  <si>
    <t>Người mua trên tin người khác: bấm «Tôi muốn nhận» → API ghi nhận quan tâm → người bán thấy tên trong «Người quan tâm» → thường mở luôn màn chat với người bán.</t>
  </si>
  <si>
    <t>DS khách quan tâm</t>
  </si>
  <si>
    <t>Người bán: trên chi tiết tin hoặc inbox chat (không chọn khách cụ thể) → API lấy danh sách khách đã quan tâm, tin nhắn cuối, số chưa đọc → chạm một khách → chat riêng với khách đó (?buyer= id).</t>
  </si>
  <si>
    <t>Đọc chat Pass</t>
  </si>
  <si>
    <t>High</t>
  </si>
  <si>
    <t>Màn chat Pass đồ (một khách cụ thể): app gọi API lấy toàn bộ tin (người mua / người bán / hệ thống «Đã chốt đơn»). Người bán mở thread → đánh dấu đã đọc (hết badge).</t>
  </si>
  <si>
    <t>Gửi chat Pass</t>
  </si>
  <si>
    <t>Cùng màn chat: gõ tin hoặc «Đề nghị giá» → Gửi → API lưu → hiện bubble. Chốt đơn không gửi bằng tin thường mà dùng API chốt (dòng 61).</t>
  </si>
  <si>
    <t>Chốt đơn</t>
  </si>
  <si>
    <t>Người bán trong chat: menu «Chốt đơn» → có thể nhập giá thỏa thuận (hoặc dùng giá đăng) → API chốt. Khách thấy tin hệ thống «Đã chốt đơn… có thể đặt xe» và trên chi tiết tin hiện nút «Đặt xe lấy đồ».</t>
  </si>
  <si>
    <t>Hủy chốt</t>
  </si>
  <si>
    <t>Người bán đổi ý trước khi khách đặt xe: «Huỷ chốt đơn» → API mở lại thương lượng → khách mất nút đặt xe đến khi chốt lại. Nếu khách đã đặt xe rồi: app không cho huỷ chốt, báo «Khách đã đặt xe».</t>
  </si>
  <si>
    <t>Đã đặt xe</t>
  </si>
  <si>
    <t>Người mua: sau chốt đơn, bấm «Đặt xe lấy đồ» trên chi tiết tin → BookingFlowCubit.startPassItemDelivery → /booking/location (tiêu đề «Chở đồ về nhà»). Nhập địa chỉ nhận → «Tiếp tục» → app gọi markTransportBooked (mock) RỒI push /booking/packages → partners → insurance → payment. Khóa huỷ chốt cho seller sau bước này.</t>
  </si>
  <si>
    <t>Báo giá VC (optional)</t>
  </si>
  <si>
    <t>Tùy chọn trên tin Pass: app gọi vài báo giá vận chuyển nhanh — có thể bỏ, dùng luồng chọn nhà xe bình thường.</t>
  </si>
  <si>
    <t>Upload file</t>
  </si>
  <si>
    <t>Trước khi đăng tin Pass hoặc đổi avatar: chọn ảnh trên máy → API upload → nhận link ảnh → gắn vào form đăng tin / hồ sơ.</t>
  </si>
  <si>
    <t>Mã giới thiệu</t>
  </si>
  <si>
    <t>Sau khi gửi đánh giá chuyến đi xong: app có thể gọi API lấy mã giới thiệu bạn bè + số thưởng → hiện popup chia sẻ.</t>
  </si>
  <si>
    <t>Bỏ quan tâm</t>
  </si>
  <si>
    <t>Xem tin yêu thích (tab Yêu thích)</t>
  </si>
  <si>
    <t>Xác nhận đã nhận đồ</t>
  </si>
  <si>
    <t>Đẩy tin lên đầu</t>
  </si>
  <si>
    <t>Đánh giá seller sau giao dịch</t>
  </si>
  <si>
    <t>Thống kê &amp; rating seller</t>
  </si>
  <si>
    <t>STT</t>
  </si>
  <si>
    <t>Nhóm chức năng</t>
  </si>
  <si>
    <t>Mã BE</t>
  </si>
  <si>
    <t>Use Case</t>
  </si>
  <si>
    <t>Tên API</t>
  </si>
  <si>
    <t>Method</t>
  </si>
  <si>
    <t>Path đầy đủ</t>
  </si>
  <si>
    <t>Auth</t>
  </si>
  <si>
    <t>Trạng thái BE</t>
  </si>
  <si>
    <t>Luồng người dùng &amp; mô tả API</t>
  </si>
  <si>
    <t>Flutter Repository</t>
  </si>
  <si>
    <t>Màn hình / Route Flutter</t>
  </si>
  <si>
    <t>Query params</t>
  </si>
  <si>
    <t>Request body</t>
  </si>
  <si>
    <t>Response data</t>
  </si>
  <si>
    <t>Mã lỗi HTTP</t>
  </si>
  <si>
    <t>Độ ưu tiên</t>
  </si>
  <si>
    <t>Ghi chú kỹ thuật (dev)</t>
  </si>
  <si>
    <t>F1</t>
  </si>
  <si>
    <t>LUỒNG NGHIỆP VỤ</t>
  </si>
  <si>
    <t>PASS-ALL</t>
  </si>
  <si>
    <t>UC-Pass</t>
  </si>
  <si>
    <t>Pass đồ — luồng end-to-end</t>
  </si>
  <si>
    <t>—</t>
  </si>
  <si>
    <t>(nhiều API)</t>
  </si>
  <si>
    <t>Bearer</t>
  </si>
  <si>
    <t>【Luồng Pass đồ — khớp app hiện tại】
NGƯỜI MUA: Trang chủ → «Pass đồ cũ» (/pass-items, tab Khám phá) → chi tiết tin → «Tôi muốn nhận» (hoặc «Vào chat thương lượng») → /pass-items/:id/chat → thương lượng → CHỜ người bán «Chốt đơn» trong chat → mới hiện «Đặt xe lấy đồ» → màn «Chở đồ về nhà» (/booking/location, pickup = khu vực tin) → «Tiếp tục» (gọi transport-booked) → Combo chuyển trọ → Chọn nhà xe → Bảo hiểm → Thanh toán cọc → Theo dõi đơn.
NGƯỜI BÁN: /pass-items tab «Tin của tôi» → đăng tin (/pass-items/new) → chi tiết tin của mình → «Người quan tâm» / «N khách — mở danh sách chat» → /pass-items/:id/chat (chọn ?buyer=) → thương lượng → «Chốt đơn». «Huỷ chốt» chỉ khi khách CHƯA bấm Tiếp tục đặt xe (buyer_transport_booked = false).</t>
  </si>
  <si>
    <t>pass_item_repository + booking_flow_cubit</t>
  </si>
  <si>
    <t>/pass-items/* + /booking/*</t>
  </si>
  <si>
    <t>P0</t>
  </si>
  <si>
    <t>Đọc pass_item_detail_page, pass_item_chat_page, choose_location_page trước khi nối API.</t>
  </si>
  <si>
    <t>F2</t>
  </si>
  <si>
    <t>BOOK-ALL</t>
  </si>
  <si>
    <t>UC-06–11</t>
  </si>
  <si>
    <t>Đặt chuyến chuyển trọ — luồng end-to-end</t>
  </si>
  <si>
    <t>【Luồng đặt chuyến — khớp HomeShell + router】
App có 4 tab dưới: Trang chủ | Thanh toán | Hoạt động | Tin nhắn (thông báo/khuyến mãi, KHÔNG phải chat nhà xe).
A) «Đặt chuyến» (Trang chủ): /booking/location → «Tiếp tục» → /booking/packages → «Chọn nhà xe» → /booking/partners → /booking/insurance → /booking/payment → /orders/:id/tracking.
B) Card «Combo chuyển trọ» lớn: vào /booking/packages TRƯỚC (có thể sửa địa điểm) → partners → insurance → payment.
C) «So sánh nhà xe»: /booking/partners thẳng → insurance → payment.
D) «Khuân vác»: /booking/labor → /booking/location → /booking/labor/configure → /booking/payment (không qua combo/nhà xe/bảo hiểm).
E) Sau Pass đồ chốt: /booking/location (Chở đồ về nhà) → packages → … như A.
Lưu ý: hầu hết bước đang dùng mock repository; API trong sheet là mục tiêu khi nối backend.</t>
  </si>
  <si>
    <t>booking_flow_cubit + customer_orders_repository</t>
  </si>
  <si>
    <t>/booking/*</t>
  </si>
  <si>
    <t>State giữ toàn bộ trong BookingFlowCubit — map field sang POST /orders.</t>
  </si>
  <si>
    <t>Hệ thống</t>
  </si>
  <si>
    <t>Kiểm tra API sống</t>
  </si>
  <si>
    <t>GET</t>
  </si>
  <si>
    <t>/api/health</t>
  </si>
  <si>
    <t>Public</t>
  </si>
  <si>
    <t>Đã có</t>
  </si>
  <si>
    <t>API kiểm tra server còn chạy không. Người dùng thường không thấy bước này — dev có thể gọi lúc mở app để biết backend sống. Xong thì app vẫn tiếp tục bình thường (đăng nhập hoặc vào Trang chủ).</t>
  </si>
  <si>
    <t>/ (optional)</t>
  </si>
  <si>
    <t>service; timestamp</t>
  </si>
  <si>
    <t>P2</t>
  </si>
  <si>
    <t>Tùy chọn: ApiClient.healthCheck() — không bắt buộc cho release.</t>
  </si>
  <si>
    <t>Xác thực</t>
  </si>
  <si>
    <t>BE-001</t>
  </si>
  <si>
    <t>Đăng ký tài khoản</t>
  </si>
  <si>
    <t>POST</t>
  </si>
  <si>
    <t>/api/auth/register</t>
  </si>
  <si>
    <t>Người dùng chưa có tài khoản: vào màn Đăng ký → điền email, mật khẩu, họ tên, số điện thoại → bấm «Đăng ký». App gọi API này để tạo tài khoản khách hàng. Thành công: app lưu đăng nhập (token) → chuyển Trang chủ (hoặc báo «kiểm tra email» nếu bật xác thực email, khi đó phải xác thực xong mới đăng nhập được). Thất bại: email đã dùng → báo lỗi, ở lại màn Đăng ký.</t>
  </si>
  <si>
    <t>customer_auth_repository.dart → signUp()</t>
  </si>
  <si>
    <t>/register</t>
  </si>
  <si>
    <t>email; password; full_name; phone; role=customer</t>
  </si>
  <si>
    <t>user; accessToken</t>
  </si>
  <si>
    <t>400; 422</t>
  </si>
  <si>
    <t>Map response → Profile model. Không lưu password. Handle message tiếng Việt từ BE.</t>
  </si>
  <si>
    <t>BE-003</t>
  </si>
  <si>
    <t>Đăng nhập email/MK</t>
  </si>
  <si>
    <t>/api/auth/login</t>
  </si>
  <si>
    <t>Người dùng đã có tài khoản: màn Đăng nhập → nhập email + mật khẩu → bấm «Đăng nhập». API kiểm tra đúng/sai. Đúng: nhớ đăng nhập → vào Trang chủ. Sai: báo «Email hoặc mật khẩu không đúng», ở lại màn Đăng nhập. Chưa xác thực email (nếu có): báo riêng, không cho vào app.</t>
  </si>
  <si>
    <t>customer_auth_repository.dart → signIn()</t>
  </si>
  <si>
    <t>/login</t>
  </si>
  <si>
    <t>email; password</t>
  </si>
  <si>
    <t>401; 403</t>
  </si>
  <si>
    <t>Tách lỗi 401 vs 403 cho message rõ.</t>
  </si>
  <si>
    <t>BE-004</t>
  </si>
  <si>
    <t>Đăng nhập Google</t>
  </si>
  <si>
    <t>/api/auth/google</t>
  </si>
  <si>
    <t>Cùng màn Đăng nhập: người dùng bấm «Tiếp tục với Google» → chọn tài khoản Google trên điện thoại. App lấy token Google gửi API này. Lần đầu: tạo tài khoản UniMove từ thông tin Google. Lần sau: đăng nhập như email. Thành công → Trang chủ. Hủy chọn Google → không gọi API, vẫn ở màn Đăng nhập.</t>
  </si>
  <si>
    <t>customer_auth_repository.dart + google_sign_in_service.dart</t>
  </si>
  <si>
    <t>id_token</t>
  </si>
  <si>
    <t>Chỉ gửi id_token, không gửi access token OAuth khác.</t>
  </si>
  <si>
    <t>Profile từ JWT</t>
  </si>
  <si>
    <t>/api/auth/me</t>
  </si>
  <si>
    <t>【App hiện tại】Màn Splash (~4 giây) KHÔNG gọi API — chỉ kiểm tra: đã xem onboarding chưa → đã lưu token trên máy chưa → đi /onboarding (lần đầu) | /home (có token) | /login.
【Khi nối API】Có thể gọi GET /auth/me hoặc /customers/me ngay trên Splash để làm mới profile trước khi vào /home; 401 thì xóa token → /login.</t>
  </si>
  <si>
    <t>customer_auth_repository.dart → getCurrentUser()</t>
  </si>
  <si>
    <t>/ (splash)</t>
  </si>
  <si>
    <t>Profile</t>
  </si>
  <si>
    <t>Ưu tiên GET /customers/me cho đủ field (loyalty, total_orders). /auth/me là fallback.</t>
  </si>
  <si>
    <t>BE-007</t>
  </si>
  <si>
    <t>Quên MK — gửi OTP</t>
  </si>
  <si>
    <t>/api/auth/forgot-password</t>
  </si>
  <si>
    <t>Người dùng quên mật khẩu: từ Đăng nhập → «Quên mật khẩu» → nhập email → bấm «Gửi». API gửi mã/ link về email. App báo «Đã gửi hướng dẫn» → chuyển sang màn Đặt lại mật khẩu (dù email có tồn tại hay không, để bảo mật).</t>
  </si>
  <si>
    <t>customer_auth_repository.dart</t>
  </si>
  <si>
    <t>/forgot-password</t>
  </si>
  <si>
    <t>email</t>
  </si>
  <si>
    <t>message</t>
  </si>
  <si>
    <t>P1</t>
  </si>
  <si>
    <t>Không báo lỗi “email không tồn tại” trên UI production.</t>
  </si>
  <si>
    <t>Reset MK bằng OTP</t>
  </si>
  <si>
    <t>/api/auth/reset-password</t>
  </si>
  <si>
    <t>Tiếp bước quên MK: người dùng nhập email, mã OTP (trong email), mật khẩu mới → bấm «Xác nhận». API đổi mật khẩu. Thành công → về màn Đăng nhập + báo đổi MK thành công → đăng nhập lại bằng MK mới. OTP sai → báo lỗi tại ô mã.</t>
  </si>
  <si>
    <t>/reset-password</t>
  </si>
  <si>
    <t>email; otp/token; new_password</t>
  </si>
  <si>
    <t>Hỗ trợ cả field otp và token theo BE.</t>
  </si>
  <si>
    <t>BE-006</t>
  </si>
  <si>
    <t>/api/auth/change-password</t>
  </si>
  <si>
    <t>Người dùng đã đăng nhập: Cá nhân → «Đổi mật khẩu» → nhập MK cũ, MK mới, nhập lại MK mới → Lưu. API xác nhận MK cũ đúng rồi đổi. Thành công → báo «Đã đổi» → quay lại Cá nhân (vẫn đăng nhập). MK cũ sai → báo lỗi.</t>
  </si>
  <si>
    <t>/change-password</t>
  </si>
  <si>
    <t>old_password; new_password</t>
  </si>
  <si>
    <t>Field BE có thể là current_password — map đúng contract nodejs-api.</t>
  </si>
  <si>
    <t>BE-005</t>
  </si>
  <si>
    <t>/api/auth/logout</t>
  </si>
  <si>
    <t>Chưa có</t>
  </si>
  <si>
    <t>customer_auth_repository.dart → signOut()</t>
  </si>
  <si>
    <t>/profile</t>
  </si>
  <si>
    <t>signOut() luôn clear local; POST logout không chặn UX.</t>
  </si>
  <si>
    <t>Hồ sơ</t>
  </si>
  <si>
    <t>BE-008</t>
  </si>
  <si>
    <t>Xem hồ sơ</t>
  </si>
  <si>
    <t>/api/customers/me</t>
  </si>
  <si>
    <t>Người dùng vào Cá nhân hoặc Trang chủ (phần avatar/tên): app gọi API lấy họ tên, ảnh, MSSV, trường, số đơn, điểm… Hiển thị lên màn. Sau khi sửa hồ sơ hoặc đăng nhập mới cũng gọi lại để cập nhật.</t>
  </si>
  <si>
    <t>customer_auth_repository.dart → fetchProfile()</t>
  </si>
  <si>
    <t>/profile; /home</t>
  </si>
  <si>
    <t>Profile đầy đủ</t>
  </si>
  <si>
    <t>Cache profile trong memory session; refresh khi pull-to-refresh profile.</t>
  </si>
  <si>
    <t>BE-009</t>
  </si>
  <si>
    <t>PATCH</t>
  </si>
  <si>
    <t>customer_auth_repository.dart → updateProfile()</t>
  </si>
  <si>
    <t>/profile/edit</t>
  </si>
  <si>
    <t>full_name?; phone?; student_id?; university?; date_of_birth?; gender?</t>
  </si>
  <si>
    <t>401; 422</t>
  </si>
  <si>
    <t>Chuẩn hóa phone +84 như repository hiện có.</t>
  </si>
  <si>
    <t>BE-010</t>
  </si>
  <si>
    <t>/api/customers/me/avatar</t>
  </si>
  <si>
    <t>customer_auth_repository.dart → uploadAvatar()</t>
  </si>
  <si>
    <t>/profile/edit; /home</t>
  </si>
  <si>
    <t>multipart field avatar</t>
  </si>
  <si>
    <t>avatar_url</t>
  </si>
  <si>
    <t>401; 413</t>
  </si>
  <si>
    <t>Giới hạn 2MB; compress ảnh trước upload nếu cần.</t>
  </si>
  <si>
    <t>Thanh toán/Ví</t>
  </si>
  <si>
    <t>BE-034</t>
  </si>
  <si>
    <t>/api/customers/me/wallet</t>
  </si>
  <si>
    <t>payments_repository.dart → fetchWalletBalance()</t>
  </si>
  <si>
    <t>Tab Thanh toán</t>
  </si>
  <si>
    <t>balance; currency; loyalty_points</t>
  </si>
  <si>
    <t>Thay mock/fallback đọc loyalty_points từ profile.</t>
  </si>
  <si>
    <t>Đặt chuyến</t>
  </si>
  <si>
    <t>BE-017</t>
  </si>
  <si>
    <t>UC-06</t>
  </si>
  <si>
    <t>/api/customers/me/recent-places</t>
  </si>
  <si>
    <t>booking_mock_repository.dart → fetchRecentPlaces()</t>
  </si>
  <si>
    <t>/booking/location</t>
  </si>
  <si>
    <t>limit=5</t>
  </si>
  <si>
    <t>RecentPlace[]</t>
  </si>
  <si>
    <t>Model RecentPlace trong booking_models.dart — map đúng title/subtitle/lat/lng.</t>
  </si>
  <si>
    <t>Thanh toán</t>
  </si>
  <si>
    <t>BE-036</t>
  </si>
  <si>
    <t>/api/customers/me/payment-methods</t>
  </si>
  <si>
    <t>payments_repository.dart</t>
  </si>
  <si>
    <t>/payments/methods</t>
  </si>
  <si>
    <t>PaymentMethod[]</t>
  </si>
  <si>
    <t>Thay mock_payment_methods_data.</t>
  </si>
  <si>
    <t>/payments/methods/add</t>
  </si>
  <si>
    <t>kind; label; token_ref</t>
  </si>
  <si>
    <t>PaymentMethod</t>
  </si>
  <si>
    <t>Không gửi số thẻ thật lên BE.</t>
  </si>
  <si>
    <t>/api/customers/me/payment-methods/:id</t>
  </si>
  <si>
    <t>is_default: true</t>
  </si>
  <si>
    <t>DELETE</t>
  </si>
  <si>
    <t>BE-018</t>
  </si>
  <si>
    <t>/api/booking/validate-route</t>
  </si>
  <si>
    <t>booking_mock_repository.dart</t>
  </si>
  <si>
    <t>pickup_address; delivery_address; lat/lng?</t>
  </si>
  <si>
    <t>estimated_distance_km; cities; districts</t>
  </si>
  <si>
    <t>Gọi trước estimate-price và create order.</t>
  </si>
  <si>
    <t>BE-021</t>
  </si>
  <si>
    <t>/api/service-packages</t>
  </si>
  <si>
    <t>booking_mock_repository.dart → fetchPackages()</t>
  </si>
  <si>
    <t>/booking/packages</t>
  </si>
  <si>
    <t>active=true</t>
  </si>
  <si>
    <t>ServicePackage[]</t>
  </si>
  <si>
    <t>Map tier string ↔ ServiceTier enum trong cubit.</t>
  </si>
  <si>
    <t>UC-10</t>
  </si>
  <si>
    <t>/api/insurance-plans</t>
  </si>
  <si>
    <t>/booking/insurance</t>
  </si>
  <si>
    <t>CargoInsurancePlan[]</t>
  </si>
  <si>
    <t>BE-019</t>
  </si>
  <si>
    <t>/api/providers/browse</t>
  </si>
  <si>
    <t>providers_repository.dart → browse()</t>
  </si>
  <si>
    <t>/booking/partners; /home</t>
  </si>
  <si>
    <t>city; limit; min/max_price; min_rating; sort; lat; lng; radius_km</t>
  </si>
  <si>
    <t>PartnerOffer[]</t>
  </si>
  <si>
    <t>Map JSON profiles nested → PartnerOffer UI model.</t>
  </si>
  <si>
    <t>BE-020</t>
  </si>
  <si>
    <t>/api/providers/:id</t>
  </si>
  <si>
    <t>providers_repository.dart</t>
  </si>
  <si>
    <t>/booking/partners</t>
  </si>
  <si>
    <t>provider; packages[]; recent_reviews[]</t>
  </si>
  <si>
    <t>BE-026</t>
  </si>
  <si>
    <t>UC-11</t>
  </si>
  <si>
    <t>/api/labor/quotes</t>
  </si>
  <si>
    <t>labor_repository.dart</t>
  </si>
  <si>
    <t>/booking/labor/*</t>
  </si>
  <si>
    <t>helper_count; labor_hours; floor_fee; for_existing_order</t>
  </si>
  <si>
    <t>LaborProviderQuote[]</t>
  </si>
  <si>
    <t>for_existing_order=true khi addon từ đơn đang chạy.</t>
  </si>
  <si>
    <t>BE-022</t>
  </si>
  <si>
    <t>/api/booking/estimate-price</t>
  </si>
  <si>
    <t>/booking/payment</t>
  </si>
  <si>
    <t>service_type; vehicle_size; distance_km; floors; insurance_plan_id?; promotion_code?; pass_item_id?</t>
  </si>
  <si>
    <t>base_price..deposit_amount</t>
  </si>
  <si>
    <t>Đồng bộ số với POST /orders body.</t>
  </si>
  <si>
    <t>Khuyến mãi</t>
  </si>
  <si>
    <t>BE-033</t>
  </si>
  <si>
    <t>/api/promotions/validate</t>
  </si>
  <si>
    <t>booking_flow_cubit</t>
  </si>
  <si>
    <t>code; order_total</t>
  </si>
  <si>
    <t>valid; discount_amount; message</t>
  </si>
  <si>
    <t>BE-037</t>
  </si>
  <si>
    <t>/api/promotions/active</t>
  </si>
  <si>
    <t>home_page (trực tiếp hoặc repo mới)</t>
  </si>
  <si>
    <t>/home</t>
  </si>
  <si>
    <t>promo[]</t>
  </si>
  <si>
    <t>Đơn hàng</t>
  </si>
  <si>
    <t>BE-024</t>
  </si>
  <si>
    <t>UC-19</t>
  </si>
  <si>
    <t>/api/orders</t>
  </si>
  <si>
    <t>customer_orders_repository.dart → fetchOrders()</t>
  </si>
  <si>
    <t>Tab Hoạt động; /orders/history</t>
  </si>
  <si>
    <t>status; page; limit; active_only; completed_only</t>
  </si>
  <si>
    <t>Order[] + provider</t>
  </si>
  <si>
    <t>Thay mock khi có JWT. conversationId để mở chat.</t>
  </si>
  <si>
    <t>/api/orders/:id</t>
  </si>
  <si>
    <t>customer_orders_repository.dart</t>
  </si>
  <si>
    <t>/orders/:id/tracking</t>
  </si>
  <si>
    <t>Order</t>
  </si>
  <si>
    <t>BE-023</t>
  </si>
  <si>
    <t>customer_orders_repository.dart → createOrder()</t>
  </si>
  <si>
    <t>pickup_*; delivery_*; prices; provider_id; pass_item_id?; promotion_code?; labor_provider_id?</t>
  </si>
  <si>
    <t>Order pending</t>
  </si>
  <si>
    <t>customer_orders_repository đã có skeleton — bổ sung field thiếu.</t>
  </si>
  <si>
    <t>BE-027</t>
  </si>
  <si>
    <t>/api/orders/labor</t>
  </si>
  <si>
    <t>/booking/labor/*; payment</t>
  </si>
  <si>
    <t>mode; linked_order_id?; labor_provider_id; helper_count; hours; addresses</t>
  </si>
  <si>
    <t>BE-025</t>
  </si>
  <si>
    <t>/api/orders/:id/cancel</t>
  </si>
  <si>
    <t>activity; tracking</t>
  </si>
  <si>
    <t>reason</t>
  </si>
  <si>
    <t>Order cancelled</t>
  </si>
  <si>
    <t>BE-031</t>
  </si>
  <si>
    <t>/api/orders/:id/confirm-complete</t>
  </si>
  <si>
    <t>order_tracking_page</t>
  </si>
  <si>
    <t>Order completed</t>
  </si>
  <si>
    <t>Theo dõi</t>
  </si>
  <si>
    <t>BE-050</t>
  </si>
  <si>
    <t>/api/orders/:id/tracking</t>
  </si>
  <si>
    <t>customer_orders_repository.dart → fetchTracking()</t>
  </si>
  <si>
    <t>order; provider; location; events; conversation_id; eta</t>
  </si>
  <si>
    <t>Thay mock_orders_data.trackingFor.</t>
  </si>
  <si>
    <t>BE-053</t>
  </si>
  <si>
    <t>/api/orders/:id/eta</t>
  </si>
  <si>
    <t>eta_minutes</t>
  </si>
  <si>
    <t>BE-052</t>
  </si>
  <si>
    <t>REALTIME</t>
  </si>
  <si>
    <t>supabase:order:{orderId}</t>
  </si>
  <si>
    <t>order_tracking_page + supabase client</t>
  </si>
  <si>
    <t>subscribe</t>
  </si>
  <si>
    <t>status; lat/lng</t>
  </si>
  <si>
    <t>Document channel name cho Flutter team.</t>
  </si>
  <si>
    <t>Đánh giá</t>
  </si>
  <si>
    <t>BE-059</t>
  </si>
  <si>
    <t>/api/orders/:id/review</t>
  </si>
  <si>
    <t>review_trip_page</t>
  </si>
  <si>
    <t>/orders/:id/review</t>
  </si>
  <si>
    <t>rating; comment?; tags[]</t>
  </si>
  <si>
    <t>review</t>
  </si>
  <si>
    <t>BE-028</t>
  </si>
  <si>
    <t>/api/payments/deposit</t>
  </si>
  <si>
    <t>customer_orders_repository / payments_repository</t>
  </si>
  <si>
    <t>order_id; amount; payment_method</t>
  </si>
  <si>
    <t>payment_url; qr; expires_at</t>
  </si>
  <si>
    <t>Đã gọi trong customer_orders_repository — hoàn thiện UI mở PayOS.</t>
  </si>
  <si>
    <t>BE-029</t>
  </si>
  <si>
    <t>/api/webhooks/payos</t>
  </si>
  <si>
    <t>Server</t>
  </si>
  <si>
    <t>PayOS payload</t>
  </si>
  <si>
    <t>Flutter: optional polling GET order sau khi user quay lại từ PayOS.</t>
  </si>
  <si>
    <t>BE-035</t>
  </si>
  <si>
    <t>/api/payments</t>
  </si>
  <si>
    <t>page; limit</t>
  </si>
  <si>
    <t>CustomerPayment[]</t>
  </si>
  <si>
    <t>/api/payments/:id</t>
  </si>
  <si>
    <t>/payments/:paymentId</t>
  </si>
  <si>
    <t>PaymentDetail</t>
  </si>
  <si>
    <t>BE-032</t>
  </si>
  <si>
    <t>UC-44</t>
  </si>
  <si>
    <t>/api/payments/refund</t>
  </si>
  <si>
    <t>order_id; reason; percent?</t>
  </si>
  <si>
    <t>refund</t>
  </si>
  <si>
    <t>Chat đơn</t>
  </si>
  <si>
    <t>BE-055</t>
  </si>
  <si>
    <t>UC-15</t>
  </si>
  <si>
    <t>/api/conversations</t>
  </si>
  <si>
    <t>chat_repository.dart</t>
  </si>
  <si>
    <t>/chat; /home</t>
  </si>
  <si>
    <t>Conversation[]</t>
  </si>
  <si>
    <t>Tạo sau provider accept đơn (BE-054).</t>
  </si>
  <si>
    <t>/api/conversations/:id/messages</t>
  </si>
  <si>
    <t>/chat/:conversationId</t>
  </si>
  <si>
    <t>Message[]</t>
  </si>
  <si>
    <t>content; message_type=text</t>
  </si>
  <si>
    <t>Message</t>
  </si>
  <si>
    <t>Thông báo</t>
  </si>
  <si>
    <t>BE-056</t>
  </si>
  <si>
    <t>/api/notifications</t>
  </si>
  <si>
    <t>notifications_repository.dart</t>
  </si>
  <si>
    <t>Tab Tin nhắn</t>
  </si>
  <si>
    <t>type; page; limit</t>
  </si>
  <si>
    <t>Notification[]</t>
  </si>
  <si>
    <t>/api/notifications/unread-count</t>
  </si>
  <si>
    <t>home_shell</t>
  </si>
  <si>
    <t>count</t>
  </si>
  <si>
    <t>BE-057</t>
  </si>
  <si>
    <t>/api/notifications/:id</t>
  </si>
  <si>
    <t>notification_detail</t>
  </si>
  <si>
    <t>Notification</t>
  </si>
  <si>
    <t>/api/notifications/:id/read</t>
  </si>
  <si>
    <t>messages_tab</t>
  </si>
  <si>
    <t>{}</t>
  </si>
  <si>
    <t>BE-058</t>
  </si>
  <si>
    <t>FCM token</t>
  </si>
  <si>
    <t>/api/notifications/push-token</t>
  </si>
  <si>
    <t>Sau khi đăng nhập, app gửi token máy (FCM) lên server để sau này nhận push «Đơn được nhận», «Có tin nhắn»… Người dùng không thấy bước riêng.</t>
  </si>
  <si>
    <t>firebase messaging wrapper</t>
  </si>
  <si>
    <t>token; platform</t>
  </si>
  <si>
    <t>Pass đồ</t>
  </si>
  <si>
    <t>PASS-01</t>
  </si>
  <si>
    <t>/api/pass-items</t>
  </si>
  <si>
    <t>Bearer (tùy)</t>
  </si>
  <si>
    <t>Chưa có — Mới</t>
  </si>
  <si>
    <t>pass_item_repository.dart → fetchBrowse()</t>
  </si>
  <si>
    <t>/pass-items</t>
  </si>
  <si>
    <t>keyword; category; page; limit</t>
  </si>
  <si>
    <t>PassItemPost[]</t>
  </si>
  <si>
    <t>Thay mock _posts filter.</t>
  </si>
  <si>
    <t>/api/pass-items/mine</t>
  </si>
  <si>
    <t>pass_item_repository.dart → fetchMine()</t>
  </si>
  <si>
    <t>/api/pass-items/:id</t>
  </si>
  <si>
    <t>pass_item_repository.dart → getById()</t>
  </si>
  <si>
    <t>/pass-items/:id</t>
  </si>
  <si>
    <t>PassItemPost</t>
  </si>
  <si>
    <t>Map deal_confirmed, buyer_transport_booked từ API.</t>
  </si>
  <si>
    <t>PASS-02</t>
  </si>
  <si>
    <t>pass_item_repository.dart → create()</t>
  </si>
  <si>
    <t>/pass-items/new</t>
  </si>
  <si>
    <t>title; description; category; condition; area; price; image_url?; is_negotiable?</t>
  </si>
  <si>
    <t>item; listing_fee</t>
  </si>
  <si>
    <t>Upload ảnh trước qua POST /uploads.</t>
  </si>
  <si>
    <t>PASS-03</t>
  </si>
  <si>
    <t>/api/pass-items/:id/listing-fee/pay</t>
  </si>
  <si>
    <t>pass_item_repository.dart</t>
  </si>
  <si>
    <t>payment_method: payos</t>
  </si>
  <si>
    <t>payos URL/QR</t>
  </si>
  <si>
    <t>PASS-04</t>
  </si>
  <si>
    <t>/api/pass-items/:id/status</t>
  </si>
  <si>
    <t>Bearer Seller</t>
  </si>
  <si>
    <t>status</t>
  </si>
  <si>
    <t>PASS-05</t>
  </si>
  <si>
    <t>/api/pass-items/:id/interest</t>
  </si>
  <si>
    <t>Bearer Buyer</t>
  </si>
  <si>
    <t>pass_item_repository.dart → expressInterest()</t>
  </si>
  <si>
    <t>note?</t>
  </si>
  <si>
    <t>interested; interested_count</t>
  </si>
  <si>
    <t>400 seller; 409</t>
  </si>
  <si>
    <t>Seed message đầu thread phía BE hoặc app.</t>
  </si>
  <si>
    <t>PASS-06</t>
  </si>
  <si>
    <t>/api/pass-items/:id/interested-buyers</t>
  </si>
  <si>
    <t>pass_item_repository.dart → interestedBuyers()</t>
  </si>
  <si>
    <t>/pass-items/:id; /pass-items/:id/chat</t>
  </si>
  <si>
    <t>PassInterestedBuyer[]</t>
  </si>
  <si>
    <t>pass_interested_buyer_tile.dart đã có UI.</t>
  </si>
  <si>
    <t>PASS-07</t>
  </si>
  <si>
    <t>/api/pass-items/:id/chat/:buyerId/messages</t>
  </si>
  <si>
    <t>pass_item_repository.dart → fetchMessages()</t>
  </si>
  <si>
    <t>/pass-items/:id/chat?buyer=</t>
  </si>
  <si>
    <t>mark_read=true</t>
  </si>
  <si>
    <t>PassChatMessage[]</t>
  </si>
  <si>
    <t>Route app_router đã có query buyer.</t>
  </si>
  <si>
    <t>pass_item_repository.dart → sendMessage()</t>
  </si>
  <si>
    <t>/pass-items/:id/chat</t>
  </si>
  <si>
    <t>text; is_offer?; offer_amount?</t>
  </si>
  <si>
    <t>PassChatMessage</t>
  </si>
  <si>
    <t>PASS-08</t>
  </si>
  <si>
    <t>/api/pass-items/:id/deal/confirm</t>
  </si>
  <si>
    <t>pass_item_repository.dart → confirmDeal()</t>
  </si>
  <si>
    <t>chat: Chốt đơn</t>
  </si>
  <si>
    <t>agreed_price?</t>
  </si>
  <si>
    <t>deal_confirmed; confirmed_price; status</t>
  </si>
  <si>
    <t>400; 403</t>
  </si>
  <si>
    <t>Lỗi nếu buyer_transport_booked.</t>
  </si>
  <si>
    <t>PASS-09</t>
  </si>
  <si>
    <t>/api/pass-items/:id/deal/cancel</t>
  </si>
  <si>
    <t>pass_item_repository.dart → cancelDealConfirmation()</t>
  </si>
  <si>
    <t>detail; chat</t>
  </si>
  <si>
    <t>deal mở lại</t>
  </si>
  <si>
    <t>sellerCanCancelDeal = dealConfirmed &amp;&amp; !buyerTransportBooked.</t>
  </si>
  <si>
    <t>PASS-10</t>
  </si>
  <si>
    <t>/api/pass-items/:id/transport-booked</t>
  </si>
  <si>
    <t>pass_item_repository.dart → markTransportBooked()</t>
  </si>
  <si>
    <t>order_id?</t>
  </si>
  <si>
    <t>buyer_transport_booked: true</t>
  </si>
  <si>
    <t>choose_location_page đã gọi mock — đổi sang API.</t>
  </si>
  <si>
    <t>PASS-11</t>
  </si>
  <si>
    <t>/api/pass-items/:id/transport-quotes</t>
  </si>
  <si>
    <t>TransportQuote[]</t>
  </si>
  <si>
    <t>Upload</t>
  </si>
  <si>
    <t>BE-060</t>
  </si>
  <si>
    <t>/api/uploads</t>
  </si>
  <si>
    <t>upload helper</t>
  </si>
  <si>
    <t>create_pass_item; edit_profile</t>
  </si>
  <si>
    <t>multipart file; bucket</t>
  </si>
  <si>
    <t>url; path</t>
  </si>
  <si>
    <t>Giới thiệu</t>
  </si>
  <si>
    <t>/api/referrals/me</t>
  </si>
  <si>
    <t>review flow</t>
  </si>
  <si>
    <t>sau /orders/:id/review</t>
  </si>
  <si>
    <t>referral_code; reward_amount; share_message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</si>
</sst>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u/>
      <color theme="1"/>
      <name val="Arial"/>
      <scheme val="minor"/>
    </font>
    <font>
      <u/>
      <color theme="1"/>
      <name val="Arial"/>
      <scheme val="minor"/>
    </font>
    <font>
      <u/>
      <color rgb="FF0000FF"/>
    </font>
    <font>
      <b/>
      <u/>
      <color rgb="FF0000FF"/>
    </font>
    <font>
      <b/>
      <sz val="17.0"/>
      <color theme="1"/>
      <name val="Comfortaa"/>
    </font>
    <font>
      <color theme="1"/>
      <name val="Arial"/>
      <scheme val="minor"/>
    </font>
    <font>
      <color theme="1"/>
      <name val="Comfortaa"/>
    </font>
    <font>
      <color theme="1"/>
      <name val="Arial"/>
    </font>
    <font>
      <sz val="9.0"/>
      <color rgb="FF000000"/>
      <name val="Monospace"/>
    </font>
    <font>
      <color rgb="FF000000"/>
      <name val="-apple-system"/>
    </font>
  </fonts>
  <fills count="4">
    <fill>
      <patternFill patternType="none"/>
    </fill>
    <fill>
      <patternFill patternType="lightGray"/>
    </fill>
    <fill>
      <patternFill patternType="solid">
        <fgColor rgb="FFFFE599"/>
        <bgColor rgb="FFFFE59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1" fillId="0" fontId="6" numFmtId="0" xfId="0" applyBorder="1" applyFont="1"/>
    <xf borderId="0" fillId="0" fontId="6" numFmtId="0" xfId="0" applyAlignment="1" applyFont="1">
      <alignment shrinkToFit="0" wrapText="1"/>
    </xf>
    <xf borderId="1" fillId="2" fontId="7" numFmtId="0" xfId="0" applyAlignment="1" applyBorder="1" applyFill="1" applyFont="1">
      <alignment readingOrder="0"/>
    </xf>
    <xf borderId="1" fillId="2" fontId="7" numFmtId="0" xfId="0" applyAlignment="1" applyBorder="1" applyFont="1">
      <alignment readingOrder="0" shrinkToFit="0" wrapText="1"/>
    </xf>
    <xf borderId="1" fillId="2" fontId="7" numFmtId="0" xfId="0" applyAlignment="1" applyBorder="1" applyFont="1">
      <alignment horizontal="center" readingOrder="0"/>
    </xf>
    <xf borderId="1" fillId="0" fontId="6" numFmtId="0" xfId="0" applyAlignment="1" applyBorder="1" applyFont="1">
      <alignment readingOrder="0"/>
    </xf>
    <xf borderId="1" fillId="0" fontId="6" numFmtId="0" xfId="0" applyAlignment="1" applyBorder="1" applyFont="1">
      <alignment readingOrder="0" shrinkToFit="0" wrapText="1"/>
    </xf>
    <xf borderId="1" fillId="0" fontId="6" numFmtId="0" xfId="0" applyAlignment="1" applyBorder="1" applyFont="1">
      <alignment readingOrder="0"/>
    </xf>
    <xf borderId="1" fillId="0" fontId="8" numFmtId="0" xfId="0" applyAlignment="1" applyBorder="1" applyFont="1">
      <alignment vertical="bottom"/>
    </xf>
    <xf borderId="0" fillId="0" fontId="8" numFmtId="0" xfId="0" applyAlignment="1" applyFont="1">
      <alignment vertical="bottom"/>
    </xf>
    <xf borderId="1" fillId="0" fontId="8" numFmtId="0" xfId="0" applyAlignment="1" applyBorder="1" applyFont="1">
      <alignment shrinkToFit="0" vertical="bottom" wrapText="1"/>
    </xf>
    <xf borderId="0" fillId="0" fontId="6" numFmtId="0" xfId="0" applyAlignment="1" applyFont="1">
      <alignment readingOrder="0" shrinkToFit="0" wrapText="1"/>
    </xf>
    <xf borderId="1" fillId="0" fontId="8" numFmtId="0" xfId="0" applyAlignment="1" applyBorder="1" applyFont="1">
      <alignment readingOrder="0" shrinkToFit="0" vertical="bottom" wrapText="1"/>
    </xf>
    <xf borderId="1" fillId="0" fontId="6" numFmtId="0" xfId="0" applyAlignment="1" applyBorder="1" applyFont="1">
      <alignment shrinkToFit="0" wrapText="1"/>
    </xf>
    <xf borderId="0" fillId="0" fontId="6" numFmtId="0" xfId="0" applyFont="1"/>
    <xf borderId="0" fillId="0" fontId="6" numFmtId="0" xfId="0" applyAlignment="1" applyFont="1">
      <alignment readingOrder="0"/>
    </xf>
    <xf borderId="0" fillId="3" fontId="9" numFmtId="0" xfId="0" applyAlignment="1" applyFill="1" applyFont="1">
      <alignment readingOrder="0"/>
    </xf>
    <xf borderId="0" fillId="3"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pp.diagrams.net/#G15oqBkIJIK4nbnWlQAnzGRwJ9bJGQJQgG#%7B%22pageId%22%3A%22fj-Z6Eiqmy8c22YTEipP%22%7D" TargetMode="External"/><Relationship Id="rId10" Type="http://schemas.openxmlformats.org/officeDocument/2006/relationships/hyperlink" Target="https://app.diagrams.net/?src=about" TargetMode="External"/><Relationship Id="rId13" Type="http://schemas.openxmlformats.org/officeDocument/2006/relationships/drawing" Target="../drawings/drawing1.xml"/><Relationship Id="rId12" Type="http://schemas.openxmlformats.org/officeDocument/2006/relationships/hyperlink" Target="https://docs.google.com/document/d/1NZv12iu97v865QxQbp0HvO4h0NuOuyTgfyAIyLzj62E/edit?usp=sharing" TargetMode="External"/><Relationship Id="rId1" Type="http://schemas.openxmlformats.org/officeDocument/2006/relationships/hyperlink" Target="https://docs.google.com/document/d/11UVVUgox-C3Kqk9OezeLHBpOJ0PKnN9KQr1bM2MZPVw/edit?usp=sharing" TargetMode="External"/><Relationship Id="rId2" Type="http://schemas.openxmlformats.org/officeDocument/2006/relationships/hyperlink" Target="https://docs.google.com/document/d/17GZFemEMzNaUJHyvod5pVNxNb3iIhV-EUc48DHMtz40/edit?usp=sharing" TargetMode="External"/><Relationship Id="rId3" Type="http://schemas.openxmlformats.org/officeDocument/2006/relationships/hyperlink" Target="https://docs.google.com/document/d/1sUR2zs-y4YXU8PkhxdBW-iOGU8-pqcb4ilAQy9QRxug/edit?usp=sharing" TargetMode="External"/><Relationship Id="rId4" Type="http://schemas.openxmlformats.org/officeDocument/2006/relationships/hyperlink" Target="https://docs.google.com/document/d/1UwddhW_KWEUiy_mEgdZKoTBiCtWblzwBblQUFTJvVjg/edit?usp=sharing" TargetMode="External"/><Relationship Id="rId9" Type="http://schemas.openxmlformats.org/officeDocument/2006/relationships/hyperlink" Target="https://supabase.com/dashboard/project/jtwsxeyxpzmeccgmxzln" TargetMode="External"/><Relationship Id="rId5" Type="http://schemas.openxmlformats.org/officeDocument/2006/relationships/hyperlink" Target="https://docs.google.com/document/d/18bFhHlHurStgUlSPjP5BMpQ8aprZJbmvO-Qn2TSBuwU/edit?usp=sharing" TargetMode="External"/><Relationship Id="rId6" Type="http://schemas.openxmlformats.org/officeDocument/2006/relationships/hyperlink" Target="https://docs.google.com/document/d/1FQs36VYcDxCdRxhd7le76Ov6yC6-MRHTWDSRpmveydw/edit?usp=sharing" TargetMode="External"/><Relationship Id="rId7" Type="http://schemas.openxmlformats.org/officeDocument/2006/relationships/hyperlink" Target="https://stitch.withgoogle.com/projects/13555156844084547609" TargetMode="External"/><Relationship Id="rId8" Type="http://schemas.openxmlformats.org/officeDocument/2006/relationships/hyperlink" Target="https://dbdiagram.io/d/Copy-of-FoodStackDB-69a78bfaa3f0aa31e1b90cc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s>
  <sheetData>
    <row r="3">
      <c r="A3" s="1" t="s">
        <v>0</v>
      </c>
    </row>
    <row r="5">
      <c r="A5" s="2" t="s">
        <v>1</v>
      </c>
    </row>
    <row r="7">
      <c r="A7" s="2" t="s">
        <v>2</v>
      </c>
    </row>
    <row r="9">
      <c r="A9" s="2" t="s">
        <v>3</v>
      </c>
    </row>
    <row r="11">
      <c r="A11" s="2" t="s">
        <v>4</v>
      </c>
    </row>
    <row r="13">
      <c r="A13" s="2" t="s">
        <v>5</v>
      </c>
    </row>
    <row r="15">
      <c r="A15" s="3" t="s">
        <v>6</v>
      </c>
    </row>
    <row r="17">
      <c r="A17" s="3" t="s">
        <v>7</v>
      </c>
    </row>
    <row r="19">
      <c r="A19" s="4" t="s">
        <v>8</v>
      </c>
    </row>
    <row r="20">
      <c r="A20" s="3" t="s">
        <v>9</v>
      </c>
    </row>
    <row r="22">
      <c r="A22" s="3" t="s">
        <v>10</v>
      </c>
    </row>
    <row r="24">
      <c r="A24" s="2" t="s">
        <v>11</v>
      </c>
    </row>
  </sheetData>
  <hyperlinks>
    <hyperlink r:id="rId1" ref="A3"/>
    <hyperlink r:id="rId2" ref="A5"/>
    <hyperlink r:id="rId3" ref="A7"/>
    <hyperlink r:id="rId4" ref="A9"/>
    <hyperlink r:id="rId5" ref="A11"/>
    <hyperlink r:id="rId6" ref="A13"/>
    <hyperlink r:id="rId7" ref="A15"/>
    <hyperlink r:id="rId8" ref="A17"/>
    <hyperlink r:id="rId9" ref="A19"/>
    <hyperlink r:id="rId10" ref="A20"/>
    <hyperlink r:id="rId11" ref="A22"/>
    <hyperlink r:id="rId12" ref="A24"/>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topLeftCell="E1" activePane="topRight" state="frozen"/>
      <selection activeCell="F2" sqref="F2" pane="topRight"/>
    </sheetView>
  </sheetViews>
  <sheetFormatPr customHeight="1" defaultColWidth="12.63" defaultRowHeight="15.75"/>
  <cols>
    <col customWidth="1" min="1" max="1" width="10.38"/>
    <col customWidth="1" min="2" max="2" width="12.0"/>
    <col customWidth="1" min="3" max="3" width="11.38"/>
    <col customWidth="1" min="4" max="4" width="31.25"/>
    <col customWidth="1" min="5" max="5" width="16.38"/>
    <col customWidth="1" min="7" max="7" width="19.5"/>
    <col customWidth="1" min="8" max="8" width="14.13"/>
    <col customWidth="1" min="9" max="9" width="17.25"/>
    <col customWidth="1" min="11" max="11" width="86.25"/>
  </cols>
  <sheetData>
    <row r="1">
      <c r="A1" s="5" t="s">
        <v>12</v>
      </c>
      <c r="K1" s="6"/>
    </row>
    <row r="2">
      <c r="B2" s="6"/>
      <c r="D2" s="7"/>
      <c r="K2" s="6"/>
    </row>
    <row r="3">
      <c r="A3" s="8" t="s">
        <v>13</v>
      </c>
      <c r="B3" s="8" t="s">
        <v>14</v>
      </c>
      <c r="C3" s="8" t="s">
        <v>15</v>
      </c>
      <c r="D3" s="9" t="s">
        <v>16</v>
      </c>
      <c r="E3" s="8" t="s">
        <v>17</v>
      </c>
      <c r="F3" s="8" t="s">
        <v>18</v>
      </c>
      <c r="G3" s="8" t="s">
        <v>19</v>
      </c>
      <c r="H3" s="10" t="s">
        <v>20</v>
      </c>
      <c r="I3" s="8" t="s">
        <v>21</v>
      </c>
      <c r="J3" s="8" t="s">
        <v>22</v>
      </c>
      <c r="K3" s="8" t="s">
        <v>23</v>
      </c>
    </row>
    <row r="4">
      <c r="A4" s="6" t="str">
        <f t="shared" ref="A4:A19" si="1">IF(C4="","",
SWITCH(C4,
"Mobile FE","MFE-",
"Web FE","WFE-",
"API","API-",
"Database","DB-",
"Documentation","DOC-"
)
&amp;
TEXT(COUNTIF($C$4:C4,C4),"000")
)</f>
        <v>DB-001</v>
      </c>
      <c r="B4" s="6"/>
      <c r="C4" s="11" t="s">
        <v>24</v>
      </c>
      <c r="D4" s="12" t="s">
        <v>25</v>
      </c>
      <c r="E4" s="13" t="s">
        <v>26</v>
      </c>
      <c r="F4" s="11" t="s">
        <v>27</v>
      </c>
      <c r="G4" s="11" t="s">
        <v>28</v>
      </c>
      <c r="H4" s="11">
        <f t="shared" ref="H4:H15" si="2">SWITCH(G4,
"Not Started",0,
"In Progress",50,
"In Review",80,
"Blocked",20,
"Completed",100,
0)</f>
        <v>100</v>
      </c>
      <c r="I4" s="6" t="str">
        <f>IFERROR(__xludf.DUMMYFUNCTION("IF(H4="""","""",
IF(H4&lt;30,
SPARKLINE(H4,{""charttype"",""bar"";""max"",100;""color1"",""red""}),
IF(H4&lt;70,
SPARKLINE(H4,{""charttype"",""bar"";""max"",100;""color1"",""orange""}),
SPARKLINE(H4,{""charttype"",""bar"";""max"",100;""color1"",""green""})
)))"),"")</f>
        <v/>
      </c>
      <c r="J4" s="6"/>
      <c r="K4" s="6"/>
    </row>
    <row r="5">
      <c r="A5" s="6" t="str">
        <f t="shared" si="1"/>
        <v>DOC-001</v>
      </c>
      <c r="B5" s="6"/>
      <c r="C5" s="11" t="s">
        <v>29</v>
      </c>
      <c r="D5" s="12" t="s">
        <v>30</v>
      </c>
      <c r="E5" s="13" t="s">
        <v>26</v>
      </c>
      <c r="F5" s="6"/>
      <c r="G5" s="6"/>
      <c r="H5" s="11">
        <f t="shared" si="2"/>
        <v>0</v>
      </c>
      <c r="I5" s="6" t="str">
        <f>IFERROR(__xludf.DUMMYFUNCTION("IF(H5="""","""",
IF(H5&lt;30,
SPARKLINE(H5,{""charttype"",""bar"";""max"",100;""color1"",""red""}),
IF(H5&lt;70,
SPARKLINE(H5,{""charttype"",""bar"";""max"",100;""color1"",""orange""}),
SPARKLINE(H5,{""charttype"",""bar"";""max"",100;""color1"",""green""})
)))"),"")</f>
        <v/>
      </c>
      <c r="J5" s="6"/>
      <c r="K5" s="6"/>
    </row>
    <row r="6">
      <c r="A6" s="6" t="str">
        <f t="shared" si="1"/>
        <v>API-001</v>
      </c>
      <c r="B6" s="14" t="s">
        <v>31</v>
      </c>
      <c r="C6" s="11" t="s">
        <v>32</v>
      </c>
      <c r="D6" s="15" t="s">
        <v>33</v>
      </c>
      <c r="E6" s="11" t="s">
        <v>34</v>
      </c>
      <c r="F6" s="6"/>
      <c r="G6" s="11" t="s">
        <v>35</v>
      </c>
      <c r="H6" s="11">
        <f t="shared" si="2"/>
        <v>50</v>
      </c>
      <c r="I6" s="6" t="str">
        <f>IFERROR(__xludf.DUMMYFUNCTION("IF(H6="""","""",
IF(H6&lt;30,
SPARKLINE(H6,{""charttype"",""bar"";""max"",100;""color1"",""red""}),
IF(H6&lt;70,
SPARKLINE(H6,{""charttype"",""bar"";""max"",100;""color1"",""orange""}),
SPARKLINE(H6,{""charttype"",""bar"";""max"",100;""color1"",""green""})
)))"),"")</f>
        <v/>
      </c>
      <c r="J6" s="6"/>
      <c r="K6" s="16" t="s">
        <v>36</v>
      </c>
    </row>
    <row r="7">
      <c r="A7" s="6" t="str">
        <f t="shared" si="1"/>
        <v>API-002</v>
      </c>
      <c r="B7" s="14" t="s">
        <v>31</v>
      </c>
      <c r="C7" s="11" t="s">
        <v>32</v>
      </c>
      <c r="D7" s="15" t="s">
        <v>37</v>
      </c>
      <c r="E7" s="11" t="s">
        <v>34</v>
      </c>
      <c r="F7" s="6"/>
      <c r="G7" s="11" t="s">
        <v>35</v>
      </c>
      <c r="H7" s="11">
        <f t="shared" si="2"/>
        <v>50</v>
      </c>
      <c r="I7" s="6" t="str">
        <f>IFERROR(__xludf.DUMMYFUNCTION("IF(H7="""","""",
IF(H7&lt;30,
SPARKLINE(H7,{""charttype"",""bar"";""max"",100;""color1"",""red""}),
IF(H7&lt;70,
SPARKLINE(H7,{""charttype"",""bar"";""max"",100;""color1"",""orange""}),
SPARKLINE(H7,{""charttype"",""bar"";""max"",100;""color1"",""green""})
)))"),"")</f>
        <v/>
      </c>
      <c r="J7" s="6"/>
      <c r="K7" s="16" t="s">
        <v>38</v>
      </c>
    </row>
    <row r="8">
      <c r="A8" s="6" t="str">
        <f t="shared" si="1"/>
        <v>API-003</v>
      </c>
      <c r="B8" s="14" t="s">
        <v>39</v>
      </c>
      <c r="C8" s="11" t="s">
        <v>32</v>
      </c>
      <c r="D8" s="15" t="s">
        <v>40</v>
      </c>
      <c r="E8" s="13" t="s">
        <v>34</v>
      </c>
      <c r="F8" s="6"/>
      <c r="G8" s="11" t="s">
        <v>35</v>
      </c>
      <c r="H8" s="11">
        <f t="shared" si="2"/>
        <v>50</v>
      </c>
      <c r="I8" s="6" t="str">
        <f>IFERROR(__xludf.DUMMYFUNCTION("IF(H8="""","""",
IF(H8&lt;30,
SPARKLINE(H8,{""charttype"",""bar"";""max"",100;""color1"",""red""}),
IF(H8&lt;70,
SPARKLINE(H8,{""charttype"",""bar"";""max"",100;""color1"",""orange""}),
SPARKLINE(H8,{""charttype"",""bar"";""max"",100;""color1"",""green""})
)))"),"")</f>
        <v/>
      </c>
      <c r="J8" s="6"/>
      <c r="K8" s="16" t="s">
        <v>41</v>
      </c>
    </row>
    <row r="9">
      <c r="A9" s="6" t="str">
        <f t="shared" si="1"/>
        <v>API-004</v>
      </c>
      <c r="B9" s="14" t="s">
        <v>39</v>
      </c>
      <c r="C9" s="11" t="s">
        <v>32</v>
      </c>
      <c r="D9" s="15" t="s">
        <v>42</v>
      </c>
      <c r="E9" s="13" t="s">
        <v>34</v>
      </c>
      <c r="F9" s="6"/>
      <c r="G9" s="11" t="s">
        <v>35</v>
      </c>
      <c r="H9" s="11">
        <f t="shared" si="2"/>
        <v>50</v>
      </c>
      <c r="I9" s="6" t="str">
        <f>IFERROR(__xludf.DUMMYFUNCTION("IF(H9="""","""",
IF(H9&lt;30,
SPARKLINE(H9,{""charttype"",""bar"";""max"",100;""color1"",""red""}),
IF(H9&lt;70,
SPARKLINE(H9,{""charttype"",""bar"";""max"",100;""color1"",""orange""}),
SPARKLINE(H9,{""charttype"",""bar"";""max"",100;""color1"",""green""})
)))"),"")</f>
        <v/>
      </c>
      <c r="J9" s="6"/>
      <c r="K9" s="16" t="s">
        <v>43</v>
      </c>
    </row>
    <row r="10">
      <c r="A10" s="6" t="str">
        <f t="shared" si="1"/>
        <v>API-005</v>
      </c>
      <c r="B10" s="14" t="s">
        <v>44</v>
      </c>
      <c r="C10" s="11" t="s">
        <v>32</v>
      </c>
      <c r="D10" s="15" t="s">
        <v>45</v>
      </c>
      <c r="E10" s="11" t="s">
        <v>46</v>
      </c>
      <c r="F10" s="11" t="s">
        <v>47</v>
      </c>
      <c r="G10" s="11" t="s">
        <v>28</v>
      </c>
      <c r="H10" s="11">
        <f t="shared" si="2"/>
        <v>100</v>
      </c>
      <c r="I10" s="6" t="str">
        <f>IFERROR(__xludf.DUMMYFUNCTION("IF(H10="""","""",
IF(H10&lt;30,
SPARKLINE(H10,{""charttype"",""bar"";""max"",100;""color1"",""red""}),
IF(H10&lt;70,
SPARKLINE(H10,{""charttype"",""bar"";""max"",100;""color1"",""orange""}),
SPARKLINE(H10,{""charttype"",""bar"";""max"",100;""color1"",""green""}"&amp;")
)))"),"")</f>
        <v/>
      </c>
      <c r="J10" s="6"/>
      <c r="K10" s="16" t="s">
        <v>48</v>
      </c>
    </row>
    <row r="11">
      <c r="A11" s="6" t="str">
        <f t="shared" si="1"/>
        <v>API-006</v>
      </c>
      <c r="B11" s="14" t="s">
        <v>49</v>
      </c>
      <c r="C11" s="11" t="s">
        <v>32</v>
      </c>
      <c r="D11" s="15" t="s">
        <v>50</v>
      </c>
      <c r="E11" s="11" t="s">
        <v>51</v>
      </c>
      <c r="F11" s="6"/>
      <c r="G11" s="11" t="s">
        <v>28</v>
      </c>
      <c r="H11" s="11">
        <f t="shared" si="2"/>
        <v>100</v>
      </c>
      <c r="I11" s="6" t="str">
        <f>IFERROR(__xludf.DUMMYFUNCTION("IF(H11="""","""",
IF(H11&lt;30,
SPARKLINE(H11,{""charttype"",""bar"";""max"",100;""color1"",""red""}),
IF(H11&lt;70,
SPARKLINE(H11,{""charttype"",""bar"";""max"",100;""color1"",""orange""}),
SPARKLINE(H11,{""charttype"",""bar"";""max"",100;""color1"",""green""}"&amp;")
)))"),"")</f>
        <v/>
      </c>
      <c r="J11" s="6"/>
      <c r="K11" s="16" t="s">
        <v>52</v>
      </c>
    </row>
    <row r="12">
      <c r="A12" s="6" t="str">
        <f t="shared" si="1"/>
        <v>API-007</v>
      </c>
      <c r="B12" s="14" t="s">
        <v>53</v>
      </c>
      <c r="C12" s="11" t="s">
        <v>32</v>
      </c>
      <c r="D12" s="15" t="s">
        <v>54</v>
      </c>
      <c r="E12" s="11" t="s">
        <v>51</v>
      </c>
      <c r="F12" s="6"/>
      <c r="G12" s="11" t="s">
        <v>28</v>
      </c>
      <c r="H12" s="11">
        <f t="shared" si="2"/>
        <v>100</v>
      </c>
      <c r="I12" s="6" t="str">
        <f>IFERROR(__xludf.DUMMYFUNCTION("IF(H12="""","""",
IF(H12&lt;30,
SPARKLINE(H12,{""charttype"",""bar"";""max"",100;""color1"",""red""}),
IF(H12&lt;70,
SPARKLINE(H12,{""charttype"",""bar"";""max"",100;""color1"",""orange""}),
SPARKLINE(H12,{""charttype"",""bar"";""max"",100;""color1"",""green""}"&amp;")
)))"),"")</f>
        <v/>
      </c>
      <c r="J12" s="6"/>
      <c r="K12" s="16" t="s">
        <v>55</v>
      </c>
    </row>
    <row r="13">
      <c r="A13" s="6" t="str">
        <f t="shared" si="1"/>
        <v>API-008</v>
      </c>
      <c r="B13" s="14" t="s">
        <v>49</v>
      </c>
      <c r="C13" s="11" t="s">
        <v>32</v>
      </c>
      <c r="D13" s="15" t="s">
        <v>56</v>
      </c>
      <c r="E13" s="11" t="s">
        <v>51</v>
      </c>
      <c r="F13" s="6"/>
      <c r="G13" s="11" t="s">
        <v>28</v>
      </c>
      <c r="H13" s="11">
        <f t="shared" si="2"/>
        <v>100</v>
      </c>
      <c r="I13" s="6" t="str">
        <f>IFERROR(__xludf.DUMMYFUNCTION("IF(H13="""","""",
IF(H13&lt;30,
SPARKLINE(H13,{""charttype"",""bar"";""max"",100;""color1"",""red""}),
IF(H13&lt;70,
SPARKLINE(H13,{""charttype"",""bar"";""max"",100;""color1"",""orange""}),
SPARKLINE(H13,{""charttype"",""bar"";""max"",100;""color1"",""green""}"&amp;")
)))"),"")</f>
        <v/>
      </c>
      <c r="J13" s="6"/>
      <c r="K13" s="16" t="s">
        <v>57</v>
      </c>
    </row>
    <row r="14">
      <c r="A14" s="6" t="str">
        <f t="shared" si="1"/>
        <v>API-009</v>
      </c>
      <c r="B14" s="14" t="s">
        <v>49</v>
      </c>
      <c r="C14" s="11" t="s">
        <v>32</v>
      </c>
      <c r="D14" s="15" t="s">
        <v>58</v>
      </c>
      <c r="E14" s="11" t="s">
        <v>46</v>
      </c>
      <c r="F14" s="11" t="s">
        <v>59</v>
      </c>
      <c r="G14" s="11" t="s">
        <v>28</v>
      </c>
      <c r="H14" s="11">
        <f t="shared" si="2"/>
        <v>100</v>
      </c>
      <c r="I14" s="6" t="str">
        <f>IFERROR(__xludf.DUMMYFUNCTION("IF(H14="""","""",
IF(H14&lt;30,
SPARKLINE(H14,{""charttype"",""bar"";""max"",100;""color1"",""red""}),
IF(H14&lt;70,
SPARKLINE(H14,{""charttype"",""bar"";""max"",100;""color1"",""orange""}),
SPARKLINE(H14,{""charttype"",""bar"";""max"",100;""color1"",""green""}"&amp;")
)))"),"")</f>
        <v/>
      </c>
      <c r="J14" s="6"/>
      <c r="K14" s="16" t="s">
        <v>60</v>
      </c>
    </row>
    <row r="15">
      <c r="A15" s="6" t="str">
        <f t="shared" si="1"/>
        <v>API-010</v>
      </c>
      <c r="B15" s="14" t="s">
        <v>49</v>
      </c>
      <c r="C15" s="11" t="s">
        <v>32</v>
      </c>
      <c r="D15" s="15" t="s">
        <v>61</v>
      </c>
      <c r="E15" s="11" t="s">
        <v>46</v>
      </c>
      <c r="F15" s="11" t="s">
        <v>59</v>
      </c>
      <c r="G15" s="11" t="s">
        <v>28</v>
      </c>
      <c r="H15" s="11">
        <f t="shared" si="2"/>
        <v>100</v>
      </c>
      <c r="I15" s="6" t="str">
        <f>IFERROR(__xludf.DUMMYFUNCTION("IF(H15="""","""",
IF(H15&lt;30,
SPARKLINE(H15,{""charttype"",""bar"";""max"",100;""color1"",""red""}),
IF(H15&lt;70,
SPARKLINE(H15,{""charttype"",""bar"";""max"",100;""color1"",""orange""}),
SPARKLINE(H15,{""charttype"",""bar"";""max"",100;""color1"",""green""}"&amp;")
)))"),"")</f>
        <v/>
      </c>
      <c r="J15" s="6"/>
      <c r="K15" s="16" t="s">
        <v>62</v>
      </c>
    </row>
    <row r="16">
      <c r="A16" s="6" t="str">
        <f t="shared" si="1"/>
        <v>API-011</v>
      </c>
      <c r="B16" s="14" t="s">
        <v>63</v>
      </c>
      <c r="C16" s="11" t="s">
        <v>32</v>
      </c>
      <c r="D16" s="15" t="s">
        <v>64</v>
      </c>
      <c r="E16" s="11" t="s">
        <v>65</v>
      </c>
      <c r="F16" s="6"/>
      <c r="G16" s="11" t="s">
        <v>66</v>
      </c>
      <c r="H16" s="11">
        <v>100.0</v>
      </c>
      <c r="I16" s="6" t="str">
        <f>IFERROR(__xludf.DUMMYFUNCTION("IF(H16="""","""",
IF(H16&lt;30,
SPARKLINE(H16,{""charttype"",""bar"";""max"",100;""color1"",""red""}),
IF(H16&lt;70,
SPARKLINE(H16,{""charttype"",""bar"";""max"",100;""color1"",""orange""}),
SPARKLINE(H16,{""charttype"",""bar"";""max"",100;""color1"",""green""}"&amp;")
)))"),"")</f>
        <v/>
      </c>
      <c r="J16" s="6"/>
      <c r="K16" s="16" t="s">
        <v>67</v>
      </c>
    </row>
    <row r="17">
      <c r="A17" s="6" t="str">
        <f t="shared" si="1"/>
        <v>API-012</v>
      </c>
      <c r="B17" s="14" t="s">
        <v>68</v>
      </c>
      <c r="C17" s="13" t="s">
        <v>32</v>
      </c>
      <c r="D17" s="15" t="s">
        <v>69</v>
      </c>
      <c r="E17" s="11" t="s">
        <v>65</v>
      </c>
      <c r="F17" s="6"/>
      <c r="G17" s="11" t="s">
        <v>66</v>
      </c>
      <c r="H17" s="11">
        <v>100.0</v>
      </c>
      <c r="I17" s="6" t="str">
        <f>IFERROR(__xludf.DUMMYFUNCTION("IF(H17="""","""",
IF(H17&lt;30,
SPARKLINE(H17,{""charttype"",""bar"";""max"",100;""color1"",""red""}),
IF(H17&lt;70,
SPARKLINE(H17,{""charttype"",""bar"";""max"",100;""color1"",""orange""}),
SPARKLINE(H17,{""charttype"",""bar"";""max"",100;""color1"",""green""}"&amp;")
)))"),"")</f>
        <v/>
      </c>
      <c r="J17" s="6"/>
      <c r="K17" s="16" t="s">
        <v>70</v>
      </c>
    </row>
    <row r="18">
      <c r="A18" s="6" t="str">
        <f t="shared" si="1"/>
        <v>API-013</v>
      </c>
      <c r="B18" s="14" t="s">
        <v>71</v>
      </c>
      <c r="C18" s="11" t="s">
        <v>32</v>
      </c>
      <c r="D18" s="15" t="s">
        <v>72</v>
      </c>
      <c r="E18" s="11" t="s">
        <v>65</v>
      </c>
      <c r="F18" s="6"/>
      <c r="G18" s="11" t="s">
        <v>66</v>
      </c>
      <c r="H18" s="11">
        <v>100.0</v>
      </c>
      <c r="I18" s="6" t="str">
        <f>IFERROR(__xludf.DUMMYFUNCTION("IF(H18="""","""",
IF(H18&lt;30,
SPARKLINE(H18,{""charttype"",""bar"";""max"",100;""color1"",""red""}),
IF(H18&lt;70,
SPARKLINE(H18,{""charttype"",""bar"";""max"",100;""color1"",""orange""}),
SPARKLINE(H18,{""charttype"",""bar"";""max"",100;""color1"",""green""}"&amp;")
)))"),"")</f>
        <v/>
      </c>
      <c r="J18" s="6"/>
      <c r="K18" s="16" t="s">
        <v>73</v>
      </c>
    </row>
    <row r="19">
      <c r="A19" s="6" t="str">
        <f t="shared" si="1"/>
        <v>API-014</v>
      </c>
      <c r="B19" s="14" t="s">
        <v>74</v>
      </c>
      <c r="C19" s="11" t="s">
        <v>32</v>
      </c>
      <c r="D19" s="15" t="s">
        <v>75</v>
      </c>
      <c r="E19" s="11" t="s">
        <v>65</v>
      </c>
      <c r="F19" s="6"/>
      <c r="G19" s="11" t="s">
        <v>66</v>
      </c>
      <c r="H19" s="11">
        <v>100.0</v>
      </c>
      <c r="I19" s="6" t="str">
        <f>IFERROR(__xludf.DUMMYFUNCTION("IF(H19="""","""",
IF(H19&lt;30,
SPARKLINE(H19,{""charttype"",""bar"";""max"",100;""color1"",""red""}),
IF(H19&lt;70,
SPARKLINE(H19,{""charttype"",""bar"";""max"",100;""color1"",""orange""}),
SPARKLINE(H19,{""charttype"",""bar"";""max"",100;""color1"",""green""}"&amp;")
)))"),"")</f>
        <v/>
      </c>
      <c r="J19" s="6"/>
      <c r="K19" s="16" t="s">
        <v>76</v>
      </c>
    </row>
    <row r="20">
      <c r="A20" s="6" t="str">
        <f>IF(C20="","",
SWITCH(C20,
"Mobile FE","MFE-",
"Web FE","WFE-",
"API","API-",
"Database","DB-",
"Documentation","DOC-"
)
&amp;
TEXT(COUNTIF($C$4:C22,C20),"000")
)</f>
        <v>API-017</v>
      </c>
      <c r="B20" s="14" t="s">
        <v>77</v>
      </c>
      <c r="C20" s="11" t="s">
        <v>32</v>
      </c>
      <c r="D20" s="15" t="s">
        <v>78</v>
      </c>
      <c r="E20" s="11" t="s">
        <v>65</v>
      </c>
      <c r="F20" s="6"/>
      <c r="G20" s="11" t="s">
        <v>28</v>
      </c>
      <c r="H20" s="11">
        <f t="shared" ref="H20:H184" si="3">SWITCH(G20,
"Not Started",0,
"In Progress",50,
"In Review",80,
"Blocked",20,
"Completed",100,
0)</f>
        <v>100</v>
      </c>
      <c r="I20" s="6" t="str">
        <f>IFERROR(__xludf.DUMMYFUNCTION("IF(H20="""","""",
IF(H20&lt;30,
SPARKLINE(H20,{""charttype"",""bar"";""max"",100;""color1"",""red""}),
IF(H20&lt;70,
SPARKLINE(H20,{""charttype"",""bar"";""max"",100;""color1"",""orange""}),
SPARKLINE(H20,{""charttype"",""bar"";""max"",100;""color1"",""green""}"&amp;")
)))"),"")</f>
        <v/>
      </c>
      <c r="J20" s="6"/>
      <c r="K20" s="16" t="s">
        <v>79</v>
      </c>
    </row>
    <row r="21">
      <c r="A21" s="6" t="str">
        <f>IF(C21="","",
SWITCH(C21,
"Mobile FE","MFE-",
"Web FE","WFE-",
"API","API-",
"Database","DB-",
"Documentation","DOC-"
)
&amp;
TEXT(COUNTIF($C$4:C22,C21),"000")
)</f>
        <v>API-017</v>
      </c>
      <c r="B21" s="14" t="s">
        <v>77</v>
      </c>
      <c r="C21" s="11" t="s">
        <v>32</v>
      </c>
      <c r="D21" s="15" t="s">
        <v>80</v>
      </c>
      <c r="E21" s="11" t="s">
        <v>65</v>
      </c>
      <c r="F21" s="6"/>
      <c r="G21" s="11" t="s">
        <v>28</v>
      </c>
      <c r="H21" s="11">
        <f t="shared" si="3"/>
        <v>100</v>
      </c>
      <c r="I21" s="6" t="str">
        <f>IFERROR(__xludf.DUMMYFUNCTION("IF(H21="""","""",
IF(H21&lt;30,
SPARKLINE(H21,{""charttype"",""bar"";""max"",100;""color1"",""red""}),
IF(H21&lt;70,
SPARKLINE(H21,{""charttype"",""bar"";""max"",100;""color1"",""orange""}),
SPARKLINE(H21,{""charttype"",""bar"";""max"",100;""color1"",""green""}"&amp;")
)))"),"")</f>
        <v/>
      </c>
      <c r="J21" s="6"/>
      <c r="K21" s="16" t="s">
        <v>81</v>
      </c>
    </row>
    <row r="22">
      <c r="A22" s="6" t="str">
        <f t="shared" ref="A22:A184" si="4">IF(C22="","",
SWITCH(C22,
"Mobile FE","MFE-",
"Web FE","WFE-",
"API","API-",
"Database","DB-",
"Documentation","DOC-"
)
&amp;
TEXT(COUNTIF($C$4:C22,C22),"000")
)</f>
        <v>API-017</v>
      </c>
      <c r="B22" s="14" t="s">
        <v>82</v>
      </c>
      <c r="C22" s="11" t="s">
        <v>32</v>
      </c>
      <c r="D22" s="15" t="s">
        <v>83</v>
      </c>
      <c r="E22" s="11" t="s">
        <v>65</v>
      </c>
      <c r="F22" s="6"/>
      <c r="G22" s="11" t="s">
        <v>28</v>
      </c>
      <c r="H22" s="11">
        <f t="shared" si="3"/>
        <v>100</v>
      </c>
      <c r="I22" s="6" t="str">
        <f>IFERROR(__xludf.DUMMYFUNCTION("IF(H22="""","""",
IF(H22&lt;30,
SPARKLINE(H22,{""charttype"",""bar"";""max"",100;""color1"",""red""}),
IF(H22&lt;70,
SPARKLINE(H22,{""charttype"",""bar"";""max"",100;""color1"",""orange""}),
SPARKLINE(H22,{""charttype"",""bar"";""max"",100;""color1"",""green""}"&amp;")
)))"),"")</f>
        <v/>
      </c>
      <c r="J22" s="6"/>
      <c r="K22" s="16" t="s">
        <v>84</v>
      </c>
    </row>
    <row r="23">
      <c r="A23" s="6" t="str">
        <f t="shared" si="4"/>
        <v>API-018</v>
      </c>
      <c r="B23" s="14" t="s">
        <v>85</v>
      </c>
      <c r="C23" s="11" t="s">
        <v>32</v>
      </c>
      <c r="D23" s="11" t="s">
        <v>86</v>
      </c>
      <c r="E23" s="11" t="s">
        <v>34</v>
      </c>
      <c r="F23" s="6"/>
      <c r="G23" s="11" t="s">
        <v>66</v>
      </c>
      <c r="H23" s="11">
        <f t="shared" si="3"/>
        <v>0</v>
      </c>
      <c r="I23" s="6" t="str">
        <f>IFERROR(__xludf.DUMMYFUNCTION("IF(H23="""","""",
IF(H23&lt;30,
SPARKLINE(H23,{""charttype"",""bar"";""max"",100;""color1"",""red""}),
IF(H23&lt;70,
SPARKLINE(H23,{""charttype"",""bar"";""max"",100;""color1"",""orange""}),
SPARKLINE(H23,{""charttype"",""bar"";""max"",100;""color1"",""green""}"&amp;")
)))"),"")</f>
        <v/>
      </c>
      <c r="J23" s="6"/>
      <c r="K23" s="17" t="s">
        <v>87</v>
      </c>
    </row>
    <row r="24">
      <c r="A24" s="6" t="str">
        <f t="shared" si="4"/>
        <v>API-019</v>
      </c>
      <c r="B24" s="14" t="s">
        <v>88</v>
      </c>
      <c r="C24" s="11" t="s">
        <v>32</v>
      </c>
      <c r="D24" s="11" t="s">
        <v>89</v>
      </c>
      <c r="E24" s="11" t="s">
        <v>34</v>
      </c>
      <c r="F24" s="6"/>
      <c r="G24" s="11" t="s">
        <v>66</v>
      </c>
      <c r="H24" s="11">
        <f t="shared" si="3"/>
        <v>0</v>
      </c>
      <c r="I24" s="6" t="str">
        <f>IFERROR(__xludf.DUMMYFUNCTION("IF(H24="""","""",
IF(H24&lt;30,
SPARKLINE(H24,{""charttype"",""bar"";""max"",100;""color1"",""red""}),
IF(H24&lt;70,
SPARKLINE(H24,{""charttype"",""bar"";""max"",100;""color1"",""orange""}),
SPARKLINE(H24,{""charttype"",""bar"";""max"",100;""color1"",""green""}"&amp;")
)))"),"")</f>
        <v/>
      </c>
      <c r="J24" s="6"/>
      <c r="K24" s="18" t="s">
        <v>90</v>
      </c>
    </row>
    <row r="25">
      <c r="A25" s="6" t="str">
        <f t="shared" si="4"/>
        <v>API-020</v>
      </c>
      <c r="B25" s="14" t="s">
        <v>91</v>
      </c>
      <c r="C25" s="11" t="s">
        <v>32</v>
      </c>
      <c r="D25" s="11" t="s">
        <v>92</v>
      </c>
      <c r="E25" s="11" t="s">
        <v>51</v>
      </c>
      <c r="F25" s="6"/>
      <c r="G25" s="11" t="s">
        <v>28</v>
      </c>
      <c r="H25" s="11">
        <f t="shared" si="3"/>
        <v>100</v>
      </c>
      <c r="I25" s="6" t="str">
        <f>IFERROR(__xludf.DUMMYFUNCTION("IF(H25="""","""",
IF(H25&lt;30,
SPARKLINE(H25,{""charttype"",""bar"";""max"",100;""color1"",""red""}),
IF(H25&lt;70,
SPARKLINE(H25,{""charttype"",""bar"";""max"",100;""color1"",""orange""}),
SPARKLINE(H25,{""charttype"",""bar"";""max"",100;""color1"",""green""}"&amp;")
)))"),"")</f>
        <v/>
      </c>
      <c r="J25" s="6"/>
      <c r="K25" s="17" t="s">
        <v>93</v>
      </c>
    </row>
    <row r="26">
      <c r="A26" s="6" t="str">
        <f t="shared" si="4"/>
        <v>API-021</v>
      </c>
      <c r="B26" s="14" t="s">
        <v>91</v>
      </c>
      <c r="C26" s="11" t="s">
        <v>32</v>
      </c>
      <c r="D26" s="11" t="s">
        <v>94</v>
      </c>
      <c r="E26" s="11" t="s">
        <v>34</v>
      </c>
      <c r="F26" s="6"/>
      <c r="G26" s="11" t="s">
        <v>66</v>
      </c>
      <c r="H26" s="11">
        <f t="shared" si="3"/>
        <v>0</v>
      </c>
      <c r="I26" s="6" t="str">
        <f>IFERROR(__xludf.DUMMYFUNCTION("IF(H26="""","""",
IF(H26&lt;30,
SPARKLINE(H26,{""charttype"",""bar"";""max"",100;""color1"",""red""}),
IF(H26&lt;70,
SPARKLINE(H26,{""charttype"",""bar"";""max"",100;""color1"",""orange""}),
SPARKLINE(H26,{""charttype"",""bar"";""max"",100;""color1"",""green""}"&amp;")
)))"),"")</f>
        <v/>
      </c>
      <c r="J26" s="6"/>
      <c r="K26" s="18" t="s">
        <v>95</v>
      </c>
    </row>
    <row r="27">
      <c r="A27" s="6" t="str">
        <f t="shared" si="4"/>
        <v>API-022</v>
      </c>
      <c r="B27" s="14" t="s">
        <v>96</v>
      </c>
      <c r="C27" s="11" t="s">
        <v>32</v>
      </c>
      <c r="D27" s="11" t="s">
        <v>97</v>
      </c>
      <c r="E27" s="11" t="s">
        <v>51</v>
      </c>
      <c r="F27" s="6"/>
      <c r="G27" s="11" t="s">
        <v>28</v>
      </c>
      <c r="H27" s="11">
        <f t="shared" si="3"/>
        <v>100</v>
      </c>
      <c r="I27" s="6" t="str">
        <f>IFERROR(__xludf.DUMMYFUNCTION("IF(H27="""","""",
IF(H27&lt;30,
SPARKLINE(H27,{""charttype"",""bar"";""max"",100;""color1"",""red""}),
IF(H27&lt;70,
SPARKLINE(H27,{""charttype"",""bar"";""max"",100;""color1"",""orange""}),
SPARKLINE(H27,{""charttype"",""bar"";""max"",100;""color1"",""green""}"&amp;")
)))"),"")</f>
        <v/>
      </c>
      <c r="J27" s="6"/>
      <c r="K27" s="17" t="s">
        <v>98</v>
      </c>
    </row>
    <row r="28">
      <c r="A28" s="6" t="str">
        <f t="shared" si="4"/>
        <v>API-023</v>
      </c>
      <c r="B28" s="14" t="s">
        <v>99</v>
      </c>
      <c r="C28" s="11" t="s">
        <v>32</v>
      </c>
      <c r="D28" s="11" t="s">
        <v>100</v>
      </c>
      <c r="E28" s="11" t="s">
        <v>34</v>
      </c>
      <c r="F28" s="6"/>
      <c r="G28" s="11" t="s">
        <v>66</v>
      </c>
      <c r="H28" s="11">
        <f t="shared" si="3"/>
        <v>0</v>
      </c>
      <c r="I28" s="6" t="str">
        <f>IFERROR(__xludf.DUMMYFUNCTION("IF(H28="""","""",
IF(H28&lt;30,
SPARKLINE(H28,{""charttype"",""bar"";""max"",100;""color1"",""red""}),
IF(H28&lt;70,
SPARKLINE(H28,{""charttype"",""bar"";""max"",100;""color1"",""orange""}),
SPARKLINE(H28,{""charttype"",""bar"";""max"",100;""color1"",""green""}"&amp;")
)))"),"")</f>
        <v/>
      </c>
      <c r="J28" s="6"/>
      <c r="K28" s="17" t="s">
        <v>101</v>
      </c>
    </row>
    <row r="29">
      <c r="A29" s="6" t="str">
        <f t="shared" si="4"/>
        <v>API-024</v>
      </c>
      <c r="B29" s="14" t="s">
        <v>102</v>
      </c>
      <c r="C29" s="11" t="s">
        <v>32</v>
      </c>
      <c r="D29" s="11" t="s">
        <v>103</v>
      </c>
      <c r="E29" s="11" t="s">
        <v>34</v>
      </c>
      <c r="F29" s="6"/>
      <c r="G29" s="11" t="s">
        <v>66</v>
      </c>
      <c r="H29" s="11">
        <f t="shared" si="3"/>
        <v>0</v>
      </c>
      <c r="I29" s="6" t="str">
        <f>IFERROR(__xludf.DUMMYFUNCTION("IF(H29="""","""",
IF(H29&lt;30,
SPARKLINE(H29,{""charttype"",""bar"";""max"",100;""color1"",""red""}),
IF(H29&lt;70,
SPARKLINE(H29,{""charttype"",""bar"";""max"",100;""color1"",""orange""}),
SPARKLINE(H29,{""charttype"",""bar"";""max"",100;""color1"",""green""}"&amp;")
)))"),"")</f>
        <v/>
      </c>
      <c r="J29" s="6"/>
      <c r="K29" s="17" t="s">
        <v>104</v>
      </c>
    </row>
    <row r="30">
      <c r="A30" s="6" t="str">
        <f t="shared" si="4"/>
        <v>API-025</v>
      </c>
      <c r="B30" s="14" t="s">
        <v>88</v>
      </c>
      <c r="C30" s="11" t="s">
        <v>32</v>
      </c>
      <c r="D30" s="11" t="s">
        <v>105</v>
      </c>
      <c r="E30" s="11" t="s">
        <v>34</v>
      </c>
      <c r="F30" s="6"/>
      <c r="G30" s="11" t="s">
        <v>66</v>
      </c>
      <c r="H30" s="11">
        <f t="shared" si="3"/>
        <v>0</v>
      </c>
      <c r="I30" s="6" t="str">
        <f>IFERROR(__xludf.DUMMYFUNCTION("IF(H30="""","""",
IF(H30&lt;30,
SPARKLINE(H30,{""charttype"",""bar"";""max"",100;""color1"",""red""}),
IF(H30&lt;70,
SPARKLINE(H30,{""charttype"",""bar"";""max"",100;""color1"",""orange""}),
SPARKLINE(H30,{""charttype"",""bar"";""max"",100;""color1"",""green""}"&amp;")
)))"),"")</f>
        <v/>
      </c>
      <c r="J30" s="6"/>
      <c r="K30" s="17" t="s">
        <v>106</v>
      </c>
    </row>
    <row r="31">
      <c r="A31" s="6" t="str">
        <f t="shared" si="4"/>
        <v>API-026</v>
      </c>
      <c r="B31" s="14" t="s">
        <v>88</v>
      </c>
      <c r="C31" s="11" t="s">
        <v>32</v>
      </c>
      <c r="D31" s="11" t="s">
        <v>107</v>
      </c>
      <c r="E31" s="11" t="s">
        <v>34</v>
      </c>
      <c r="F31" s="6"/>
      <c r="G31" s="11" t="s">
        <v>66</v>
      </c>
      <c r="H31" s="11">
        <f t="shared" si="3"/>
        <v>0</v>
      </c>
      <c r="I31" s="6" t="str">
        <f>IFERROR(__xludf.DUMMYFUNCTION("IF(H31="""","""",
IF(H31&lt;30,
SPARKLINE(H31,{""charttype"",""bar"";""max"",100;""color1"",""red""}),
IF(H31&lt;70,
SPARKLINE(H31,{""charttype"",""bar"";""max"",100;""color1"",""orange""}),
SPARKLINE(H31,{""charttype"",""bar"";""max"",100;""color1"",""green""}"&amp;")
)))"),"")</f>
        <v/>
      </c>
      <c r="J31" s="6"/>
      <c r="K31" s="17" t="s">
        <v>108</v>
      </c>
    </row>
    <row r="32">
      <c r="A32" s="6" t="str">
        <f t="shared" si="4"/>
        <v>API-027</v>
      </c>
      <c r="B32" s="14" t="s">
        <v>88</v>
      </c>
      <c r="C32" s="11" t="s">
        <v>32</v>
      </c>
      <c r="D32" s="11" t="s">
        <v>109</v>
      </c>
      <c r="E32" s="11" t="s">
        <v>26</v>
      </c>
      <c r="F32" s="6"/>
      <c r="G32" s="11" t="s">
        <v>66</v>
      </c>
      <c r="H32" s="11">
        <f t="shared" si="3"/>
        <v>0</v>
      </c>
      <c r="I32" s="6" t="str">
        <f>IFERROR(__xludf.DUMMYFUNCTION("IF(H32="""","""",
IF(H32&lt;30,
SPARKLINE(H32,{""charttype"",""bar"";""max"",100;""color1"",""red""}),
IF(H32&lt;70,
SPARKLINE(H32,{""charttype"",""bar"";""max"",100;""color1"",""orange""}),
SPARKLINE(H32,{""charttype"",""bar"";""max"",100;""color1"",""green""}"&amp;")
)))"),"")</f>
        <v/>
      </c>
      <c r="J32" s="6"/>
      <c r="K32" s="17" t="s">
        <v>110</v>
      </c>
    </row>
    <row r="33">
      <c r="A33" s="6" t="str">
        <f t="shared" si="4"/>
        <v>API-028</v>
      </c>
      <c r="B33" s="14" t="s">
        <v>111</v>
      </c>
      <c r="C33" s="11" t="s">
        <v>32</v>
      </c>
      <c r="D33" s="11" t="s">
        <v>112</v>
      </c>
      <c r="E33" s="11" t="s">
        <v>51</v>
      </c>
      <c r="F33" s="6"/>
      <c r="G33" s="11" t="s">
        <v>28</v>
      </c>
      <c r="H33" s="11">
        <f t="shared" si="3"/>
        <v>100</v>
      </c>
      <c r="I33" s="6" t="str">
        <f>IFERROR(__xludf.DUMMYFUNCTION("IF(H33="""","""",
IF(H33&lt;30,
SPARKLINE(H33,{""charttype"",""bar"";""max"",100;""color1"",""red""}),
IF(H33&lt;70,
SPARKLINE(H33,{""charttype"",""bar"";""max"",100;""color1"",""orange""}),
SPARKLINE(H33,{""charttype"",""bar"";""max"",100;""color1"",""green""}"&amp;")
)))"),"")</f>
        <v/>
      </c>
      <c r="J33" s="6"/>
      <c r="K33" s="17" t="s">
        <v>113</v>
      </c>
    </row>
    <row r="34">
      <c r="A34" s="6" t="str">
        <f t="shared" si="4"/>
        <v>API-029</v>
      </c>
      <c r="B34" s="14" t="s">
        <v>114</v>
      </c>
      <c r="C34" s="11" t="s">
        <v>32</v>
      </c>
      <c r="D34" s="11" t="s">
        <v>115</v>
      </c>
      <c r="E34" s="6"/>
      <c r="F34" s="6"/>
      <c r="G34" s="11" t="s">
        <v>66</v>
      </c>
      <c r="H34" s="11">
        <f t="shared" si="3"/>
        <v>0</v>
      </c>
      <c r="I34" s="6" t="str">
        <f>IFERROR(__xludf.DUMMYFUNCTION("IF(H34="""","""",
IF(H34&lt;30,
SPARKLINE(H34,{""charttype"",""bar"";""max"",100;""color1"",""red""}),
IF(H34&lt;70,
SPARKLINE(H34,{""charttype"",""bar"";""max"",100;""color1"",""orange""}),
SPARKLINE(H34,{""charttype"",""bar"";""max"",100;""color1"",""green""}"&amp;")
)))"),"")</f>
        <v/>
      </c>
      <c r="J34" s="6"/>
      <c r="K34" s="17" t="s">
        <v>116</v>
      </c>
    </row>
    <row r="35">
      <c r="A35" s="6" t="str">
        <f t="shared" si="4"/>
        <v>API-030</v>
      </c>
      <c r="B35" s="14" t="s">
        <v>117</v>
      </c>
      <c r="C35" s="11" t="s">
        <v>32</v>
      </c>
      <c r="D35" s="11" t="s">
        <v>118</v>
      </c>
      <c r="E35" s="6"/>
      <c r="F35" s="6"/>
      <c r="G35" s="11" t="s">
        <v>66</v>
      </c>
      <c r="H35" s="11">
        <f t="shared" si="3"/>
        <v>0</v>
      </c>
      <c r="I35" s="6" t="str">
        <f>IFERROR(__xludf.DUMMYFUNCTION("IF(H35="""","""",
IF(H35&lt;30,
SPARKLINE(H35,{""charttype"",""bar"";""max"",100;""color1"",""red""}),
IF(H35&lt;70,
SPARKLINE(H35,{""charttype"",""bar"";""max"",100;""color1"",""orange""}),
SPARKLINE(H35,{""charttype"",""bar"";""max"",100;""color1"",""green""}"&amp;")
)))"),"")</f>
        <v/>
      </c>
      <c r="J35" s="6"/>
      <c r="K35" s="17" t="s">
        <v>119</v>
      </c>
    </row>
    <row r="36">
      <c r="A36" s="6" t="str">
        <f t="shared" si="4"/>
        <v>API-031</v>
      </c>
      <c r="B36" s="14" t="s">
        <v>120</v>
      </c>
      <c r="C36" s="11" t="s">
        <v>32</v>
      </c>
      <c r="D36" s="11" t="s">
        <v>121</v>
      </c>
      <c r="E36" s="11" t="s">
        <v>51</v>
      </c>
      <c r="F36" s="6"/>
      <c r="G36" s="11" t="s">
        <v>28</v>
      </c>
      <c r="H36" s="11">
        <f t="shared" si="3"/>
        <v>100</v>
      </c>
      <c r="I36" s="6" t="str">
        <f>IFERROR(__xludf.DUMMYFUNCTION("IF(H36="""","""",
IF(H36&lt;30,
SPARKLINE(H36,{""charttype"",""bar"";""max"",100;""color1"",""red""}),
IF(H36&lt;70,
SPARKLINE(H36,{""charttype"",""bar"";""max"",100;""color1"",""orange""}),
SPARKLINE(H36,{""charttype"",""bar"";""max"",100;""color1"",""green""}"&amp;")
)))"),"")</f>
        <v/>
      </c>
      <c r="J36" s="6"/>
      <c r="K36" s="17" t="s">
        <v>122</v>
      </c>
    </row>
    <row r="37">
      <c r="A37" s="6" t="str">
        <f t="shared" si="4"/>
        <v>API-032</v>
      </c>
      <c r="B37" s="14" t="s">
        <v>123</v>
      </c>
      <c r="C37" s="11" t="s">
        <v>32</v>
      </c>
      <c r="D37" s="11" t="s">
        <v>124</v>
      </c>
      <c r="E37" s="6"/>
      <c r="F37" s="6"/>
      <c r="G37" s="11" t="s">
        <v>66</v>
      </c>
      <c r="H37" s="11">
        <f t="shared" si="3"/>
        <v>0</v>
      </c>
      <c r="I37" s="6" t="str">
        <f>IFERROR(__xludf.DUMMYFUNCTION("IF(H37="""","""",
IF(H37&lt;30,
SPARKLINE(H37,{""charttype"",""bar"";""max"",100;""color1"",""red""}),
IF(H37&lt;70,
SPARKLINE(H37,{""charttype"",""bar"";""max"",100;""color1"",""orange""}),
SPARKLINE(H37,{""charttype"",""bar"";""max"",100;""color1"",""green""}"&amp;")
)))"),"")</f>
        <v/>
      </c>
      <c r="J37" s="6"/>
      <c r="K37" s="17" t="s">
        <v>125</v>
      </c>
    </row>
    <row r="38">
      <c r="A38" s="6" t="str">
        <f t="shared" si="4"/>
        <v>API-033</v>
      </c>
      <c r="B38" s="14" t="s">
        <v>126</v>
      </c>
      <c r="C38" s="11" t="s">
        <v>32</v>
      </c>
      <c r="D38" s="11" t="s">
        <v>127</v>
      </c>
      <c r="E38" s="6"/>
      <c r="F38" s="6"/>
      <c r="G38" s="11" t="s">
        <v>66</v>
      </c>
      <c r="H38" s="11">
        <f t="shared" si="3"/>
        <v>0</v>
      </c>
      <c r="I38" s="6" t="str">
        <f>IFERROR(__xludf.DUMMYFUNCTION("IF(H38="""","""",
IF(H38&lt;30,
SPARKLINE(H38,{""charttype"",""bar"";""max"",100;""color1"",""red""}),
IF(H38&lt;70,
SPARKLINE(H38,{""charttype"",""bar"";""max"",100;""color1"",""orange""}),
SPARKLINE(H38,{""charttype"",""bar"";""max"",100;""color1"",""green""}"&amp;")
)))"),"")</f>
        <v/>
      </c>
      <c r="J38" s="6"/>
      <c r="K38" s="17" t="s">
        <v>128</v>
      </c>
    </row>
    <row r="39">
      <c r="A39" s="6" t="str">
        <f t="shared" si="4"/>
        <v>API-034</v>
      </c>
      <c r="B39" s="14" t="s">
        <v>129</v>
      </c>
      <c r="C39" s="11" t="s">
        <v>32</v>
      </c>
      <c r="D39" s="11" t="s">
        <v>130</v>
      </c>
      <c r="E39" s="6"/>
      <c r="F39" s="6"/>
      <c r="G39" s="11" t="s">
        <v>66</v>
      </c>
      <c r="H39" s="11">
        <f t="shared" si="3"/>
        <v>0</v>
      </c>
      <c r="I39" s="6" t="str">
        <f>IFERROR(__xludf.DUMMYFUNCTION("IF(H39="""","""",
IF(H39&lt;30,
SPARKLINE(H39,{""charttype"",""bar"";""max"",100;""color1"",""red""}),
IF(H39&lt;70,
SPARKLINE(H39,{""charttype"",""bar"";""max"",100;""color1"",""orange""}),
SPARKLINE(H39,{""charttype"",""bar"";""max"",100;""color1"",""green""}"&amp;")
)))"),"")</f>
        <v/>
      </c>
      <c r="J39" s="6"/>
      <c r="K39" s="17" t="s">
        <v>131</v>
      </c>
    </row>
    <row r="40">
      <c r="A40" s="6" t="str">
        <f t="shared" si="4"/>
        <v>API-035</v>
      </c>
      <c r="B40" s="14" t="s">
        <v>132</v>
      </c>
      <c r="C40" s="11" t="s">
        <v>32</v>
      </c>
      <c r="D40" s="11" t="s">
        <v>133</v>
      </c>
      <c r="E40" s="6"/>
      <c r="F40" s="6"/>
      <c r="G40" s="11" t="s">
        <v>66</v>
      </c>
      <c r="H40" s="11">
        <f t="shared" si="3"/>
        <v>0</v>
      </c>
      <c r="I40" s="6" t="str">
        <f>IFERROR(__xludf.DUMMYFUNCTION("IF(H40="""","""",
IF(H40&lt;30,
SPARKLINE(H40,{""charttype"",""bar"";""max"",100;""color1"",""red""}),
IF(H40&lt;70,
SPARKLINE(H40,{""charttype"",""bar"";""max"",100;""color1"",""orange""}),
SPARKLINE(H40,{""charttype"",""bar"";""max"",100;""color1"",""green""}"&amp;")
)))"),"")</f>
        <v/>
      </c>
      <c r="J40" s="6"/>
      <c r="K40" s="17" t="s">
        <v>134</v>
      </c>
    </row>
    <row r="41">
      <c r="A41" s="6" t="str">
        <f t="shared" si="4"/>
        <v>API-036</v>
      </c>
      <c r="B41" s="14" t="s">
        <v>135</v>
      </c>
      <c r="C41" s="11" t="s">
        <v>32</v>
      </c>
      <c r="D41" s="11" t="s">
        <v>136</v>
      </c>
      <c r="E41" s="6"/>
      <c r="F41" s="6"/>
      <c r="G41" s="11" t="s">
        <v>66</v>
      </c>
      <c r="H41" s="11">
        <f t="shared" si="3"/>
        <v>0</v>
      </c>
      <c r="I41" s="6" t="str">
        <f>IFERROR(__xludf.DUMMYFUNCTION("IF(H41="""","""",
IF(H41&lt;30,
SPARKLINE(H41,{""charttype"",""bar"";""max"",100;""color1"",""red""}),
IF(H41&lt;70,
SPARKLINE(H41,{""charttype"",""bar"";""max"",100;""color1"",""orange""}),
SPARKLINE(H41,{""charttype"",""bar"";""max"",100;""color1"",""green""}"&amp;")
)))"),"")</f>
        <v/>
      </c>
      <c r="J41" s="6"/>
      <c r="K41" s="17" t="s">
        <v>137</v>
      </c>
    </row>
    <row r="42">
      <c r="A42" s="6" t="str">
        <f t="shared" si="4"/>
        <v>API-037</v>
      </c>
      <c r="B42" s="14" t="s">
        <v>138</v>
      </c>
      <c r="C42" s="11" t="s">
        <v>32</v>
      </c>
      <c r="D42" s="11" t="s">
        <v>139</v>
      </c>
      <c r="E42" s="6"/>
      <c r="F42" s="6"/>
      <c r="G42" s="11" t="s">
        <v>66</v>
      </c>
      <c r="H42" s="11">
        <f t="shared" si="3"/>
        <v>0</v>
      </c>
      <c r="I42" s="6" t="str">
        <f>IFERROR(__xludf.DUMMYFUNCTION("IF(H42="""","""",
IF(H42&lt;30,
SPARKLINE(H42,{""charttype"",""bar"";""max"",100;""color1"",""red""}),
IF(H42&lt;70,
SPARKLINE(H42,{""charttype"",""bar"";""max"",100;""color1"",""orange""}),
SPARKLINE(H42,{""charttype"",""bar"";""max"",100;""color1"",""green""}"&amp;")
)))"),"")</f>
        <v/>
      </c>
      <c r="J42" s="6"/>
      <c r="K42" s="17" t="s">
        <v>140</v>
      </c>
    </row>
    <row r="43">
      <c r="A43" s="6" t="str">
        <f t="shared" si="4"/>
        <v>API-038</v>
      </c>
      <c r="B43" s="14" t="s">
        <v>141</v>
      </c>
      <c r="C43" s="11" t="s">
        <v>32</v>
      </c>
      <c r="D43" s="11" t="s">
        <v>142</v>
      </c>
      <c r="E43" s="6"/>
      <c r="F43" s="6"/>
      <c r="G43" s="11" t="s">
        <v>66</v>
      </c>
      <c r="H43" s="11">
        <f t="shared" si="3"/>
        <v>0</v>
      </c>
      <c r="I43" s="6" t="str">
        <f>IFERROR(__xludf.DUMMYFUNCTION("IF(H43="""","""",
IF(H43&lt;30,
SPARKLINE(H43,{""charttype"",""bar"";""max"",100;""color1"",""red""}),
IF(H43&lt;70,
SPARKLINE(H43,{""charttype"",""bar"";""max"",100;""color1"",""orange""}),
SPARKLINE(H43,{""charttype"",""bar"";""max"",100;""color1"",""green""}"&amp;")
)))"),"")</f>
        <v/>
      </c>
      <c r="J43" s="6"/>
      <c r="K43" s="17" t="s">
        <v>143</v>
      </c>
    </row>
    <row r="44">
      <c r="A44" s="6" t="str">
        <f t="shared" si="4"/>
        <v>API-039</v>
      </c>
      <c r="B44" s="14" t="s">
        <v>144</v>
      </c>
      <c r="C44" s="11" t="s">
        <v>32</v>
      </c>
      <c r="D44" s="11" t="s">
        <v>145</v>
      </c>
      <c r="E44" s="6"/>
      <c r="F44" s="6"/>
      <c r="G44" s="11" t="s">
        <v>66</v>
      </c>
      <c r="H44" s="11">
        <f t="shared" si="3"/>
        <v>0</v>
      </c>
      <c r="I44" s="6" t="str">
        <f>IFERROR(__xludf.DUMMYFUNCTION("IF(H44="""","""",
IF(H44&lt;30,
SPARKLINE(H44,{""charttype"",""bar"";""max"",100;""color1"",""red""}),
IF(H44&lt;70,
SPARKLINE(H44,{""charttype"",""bar"";""max"",100;""color1"",""orange""}),
SPARKLINE(H44,{""charttype"",""bar"";""max"",100;""color1"",""green""}"&amp;")
)))"),"")</f>
        <v/>
      </c>
      <c r="J44" s="6"/>
      <c r="K44" s="17" t="s">
        <v>146</v>
      </c>
    </row>
    <row r="45">
      <c r="A45" s="6" t="str">
        <f t="shared" si="4"/>
        <v>API-040</v>
      </c>
      <c r="B45" s="14" t="s">
        <v>147</v>
      </c>
      <c r="C45" s="11" t="s">
        <v>32</v>
      </c>
      <c r="D45" s="11" t="s">
        <v>148</v>
      </c>
      <c r="E45" s="6"/>
      <c r="F45" s="6"/>
      <c r="G45" s="11" t="s">
        <v>66</v>
      </c>
      <c r="H45" s="11">
        <f t="shared" si="3"/>
        <v>0</v>
      </c>
      <c r="I45" s="6" t="str">
        <f>IFERROR(__xludf.DUMMYFUNCTION("IF(H45="""","""",
IF(H45&lt;30,
SPARKLINE(H45,{""charttype"",""bar"";""max"",100;""color1"",""red""}),
IF(H45&lt;70,
SPARKLINE(H45,{""charttype"",""bar"";""max"",100;""color1"",""orange""}),
SPARKLINE(H45,{""charttype"",""bar"";""max"",100;""color1"",""green""}"&amp;")
)))"),"")</f>
        <v/>
      </c>
      <c r="J45" s="6"/>
      <c r="K45" s="17" t="s">
        <v>149</v>
      </c>
    </row>
    <row r="46">
      <c r="A46" s="6" t="str">
        <f t="shared" si="4"/>
        <v>API-041</v>
      </c>
      <c r="B46" s="14" t="s">
        <v>150</v>
      </c>
      <c r="C46" s="11" t="s">
        <v>32</v>
      </c>
      <c r="D46" s="11" t="s">
        <v>151</v>
      </c>
      <c r="E46" s="6"/>
      <c r="F46" s="6"/>
      <c r="G46" s="11" t="s">
        <v>66</v>
      </c>
      <c r="H46" s="11">
        <f t="shared" si="3"/>
        <v>0</v>
      </c>
      <c r="I46" s="6" t="str">
        <f>IFERROR(__xludf.DUMMYFUNCTION("IF(H46="""","""",
IF(H46&lt;30,
SPARKLINE(H46,{""charttype"",""bar"";""max"",100;""color1"",""red""}),
IF(H46&lt;70,
SPARKLINE(H46,{""charttype"",""bar"";""max"",100;""color1"",""orange""}),
SPARKLINE(H46,{""charttype"",""bar"";""max"",100;""color1"",""green""}"&amp;")
)))"),"")</f>
        <v/>
      </c>
      <c r="J46" s="6"/>
      <c r="K46" s="17" t="s">
        <v>152</v>
      </c>
    </row>
    <row r="47">
      <c r="A47" s="6" t="str">
        <f t="shared" si="4"/>
        <v>API-042</v>
      </c>
      <c r="B47" s="14" t="s">
        <v>153</v>
      </c>
      <c r="C47" s="11" t="s">
        <v>32</v>
      </c>
      <c r="D47" s="11" t="s">
        <v>154</v>
      </c>
      <c r="E47" s="6"/>
      <c r="F47" s="6"/>
      <c r="G47" s="11" t="s">
        <v>66</v>
      </c>
      <c r="H47" s="11">
        <f t="shared" si="3"/>
        <v>0</v>
      </c>
      <c r="I47" s="6" t="str">
        <f>IFERROR(__xludf.DUMMYFUNCTION("IF(H47="""","""",
IF(H47&lt;30,
SPARKLINE(H47,{""charttype"",""bar"";""max"",100;""color1"",""red""}),
IF(H47&lt;70,
SPARKLINE(H47,{""charttype"",""bar"";""max"",100;""color1"",""orange""}),
SPARKLINE(H47,{""charttype"",""bar"";""max"",100;""color1"",""green""}"&amp;")
)))"),"")</f>
        <v/>
      </c>
      <c r="J47" s="6"/>
      <c r="K47" s="17" t="s">
        <v>155</v>
      </c>
    </row>
    <row r="48">
      <c r="A48" s="6" t="str">
        <f t="shared" si="4"/>
        <v>API-043</v>
      </c>
      <c r="B48" s="14" t="s">
        <v>156</v>
      </c>
      <c r="C48" s="11" t="s">
        <v>32</v>
      </c>
      <c r="D48" s="11" t="s">
        <v>157</v>
      </c>
      <c r="E48" s="6"/>
      <c r="F48" s="6"/>
      <c r="G48" s="11" t="s">
        <v>66</v>
      </c>
      <c r="H48" s="11">
        <f t="shared" si="3"/>
        <v>0</v>
      </c>
      <c r="I48" s="6" t="str">
        <f>IFERROR(__xludf.DUMMYFUNCTION("IF(H48="""","""",
IF(H48&lt;30,
SPARKLINE(H48,{""charttype"",""bar"";""max"",100;""color1"",""red""}),
IF(H48&lt;70,
SPARKLINE(H48,{""charttype"",""bar"";""max"",100;""color1"",""orange""}),
SPARKLINE(H48,{""charttype"",""bar"";""max"",100;""color1"",""green""}"&amp;")
)))"),"")</f>
        <v/>
      </c>
      <c r="J48" s="6"/>
      <c r="K48" s="17" t="s">
        <v>158</v>
      </c>
    </row>
    <row r="49">
      <c r="A49" s="6" t="str">
        <f t="shared" si="4"/>
        <v>API-044</v>
      </c>
      <c r="B49" s="14" t="s">
        <v>150</v>
      </c>
      <c r="C49" s="11" t="s">
        <v>32</v>
      </c>
      <c r="D49" s="11" t="s">
        <v>159</v>
      </c>
      <c r="E49" s="6"/>
      <c r="F49" s="6"/>
      <c r="G49" s="11" t="s">
        <v>66</v>
      </c>
      <c r="H49" s="11">
        <f t="shared" si="3"/>
        <v>0</v>
      </c>
      <c r="I49" s="6" t="str">
        <f>IFERROR(__xludf.DUMMYFUNCTION("IF(H49="""","""",
IF(H49&lt;30,
SPARKLINE(H49,{""charttype"",""bar"";""max"",100;""color1"",""red""}),
IF(H49&lt;70,
SPARKLINE(H49,{""charttype"",""bar"";""max"",100;""color1"",""orange""}),
SPARKLINE(H49,{""charttype"",""bar"";""max"",100;""color1"",""green""}"&amp;")
)))"),"")</f>
        <v/>
      </c>
      <c r="J49" s="6"/>
      <c r="K49" s="17" t="s">
        <v>160</v>
      </c>
    </row>
    <row r="50">
      <c r="A50" s="6" t="str">
        <f t="shared" si="4"/>
        <v>API-045</v>
      </c>
      <c r="B50" s="14" t="s">
        <v>161</v>
      </c>
      <c r="C50" s="11" t="s">
        <v>32</v>
      </c>
      <c r="D50" s="11" t="s">
        <v>162</v>
      </c>
      <c r="E50" s="6"/>
      <c r="F50" s="6"/>
      <c r="G50" s="11" t="s">
        <v>66</v>
      </c>
      <c r="H50" s="11">
        <f t="shared" si="3"/>
        <v>0</v>
      </c>
      <c r="I50" s="6" t="str">
        <f>IFERROR(__xludf.DUMMYFUNCTION("IF(H50="""","""",
IF(H50&lt;30,
SPARKLINE(H50,{""charttype"",""bar"";""max"",100;""color1"",""red""}),
IF(H50&lt;70,
SPARKLINE(H50,{""charttype"",""bar"";""max"",100;""color1"",""orange""}),
SPARKLINE(H50,{""charttype"",""bar"";""max"",100;""color1"",""green""}"&amp;")
)))"),"")</f>
        <v/>
      </c>
      <c r="J50" s="6"/>
      <c r="K50" s="17" t="s">
        <v>163</v>
      </c>
    </row>
    <row r="51">
      <c r="A51" s="6" t="str">
        <f t="shared" si="4"/>
        <v>API-046</v>
      </c>
      <c r="B51" s="14" t="s">
        <v>164</v>
      </c>
      <c r="C51" s="11" t="s">
        <v>32</v>
      </c>
      <c r="D51" s="11" t="s">
        <v>165</v>
      </c>
      <c r="E51" s="6"/>
      <c r="F51" s="6"/>
      <c r="G51" s="11" t="s">
        <v>66</v>
      </c>
      <c r="H51" s="11">
        <f t="shared" si="3"/>
        <v>0</v>
      </c>
      <c r="I51" s="6" t="str">
        <f>IFERROR(__xludf.DUMMYFUNCTION("IF(H51="""","""",
IF(H51&lt;30,
SPARKLINE(H51,{""charttype"",""bar"";""max"",100;""color1"",""red""}),
IF(H51&lt;70,
SPARKLINE(H51,{""charttype"",""bar"";""max"",100;""color1"",""orange""}),
SPARKLINE(H51,{""charttype"",""bar"";""max"",100;""color1"",""green""}"&amp;")
)))"),"")</f>
        <v/>
      </c>
      <c r="J51" s="6"/>
      <c r="K51" s="17" t="s">
        <v>166</v>
      </c>
    </row>
    <row r="52">
      <c r="A52" s="6" t="str">
        <f t="shared" si="4"/>
        <v>API-047</v>
      </c>
      <c r="B52" s="14" t="s">
        <v>167</v>
      </c>
      <c r="C52" s="11" t="s">
        <v>32</v>
      </c>
      <c r="D52" s="11" t="s">
        <v>168</v>
      </c>
      <c r="E52" s="11" t="s">
        <v>34</v>
      </c>
      <c r="F52" s="6"/>
      <c r="G52" s="11" t="s">
        <v>66</v>
      </c>
      <c r="H52" s="11">
        <f t="shared" si="3"/>
        <v>0</v>
      </c>
      <c r="I52" s="6" t="str">
        <f>IFERROR(__xludf.DUMMYFUNCTION("IF(H52="""","""",
IF(H52&lt;30,
SPARKLINE(H52,{""charttype"",""bar"";""max"",100;""color1"",""red""}),
IF(H52&lt;70,
SPARKLINE(H52,{""charttype"",""bar"";""max"",100;""color1"",""orange""}),
SPARKLINE(H52,{""charttype"",""bar"";""max"",100;""color1"",""green""}"&amp;")
)))"),"")</f>
        <v/>
      </c>
      <c r="J52" s="6"/>
      <c r="K52" s="17" t="s">
        <v>169</v>
      </c>
    </row>
    <row r="53">
      <c r="A53" s="6" t="str">
        <f t="shared" si="4"/>
        <v>API-048</v>
      </c>
      <c r="B53" s="14" t="s">
        <v>170</v>
      </c>
      <c r="C53" s="11" t="s">
        <v>32</v>
      </c>
      <c r="D53" s="11" t="s">
        <v>171</v>
      </c>
      <c r="E53" s="6"/>
      <c r="F53" s="6"/>
      <c r="G53" s="11" t="s">
        <v>66</v>
      </c>
      <c r="H53" s="11">
        <f t="shared" si="3"/>
        <v>0</v>
      </c>
      <c r="I53" s="6" t="str">
        <f>IFERROR(__xludf.DUMMYFUNCTION("IF(H53="""","""",
IF(H53&lt;30,
SPARKLINE(H53,{""charttype"",""bar"";""max"",100;""color1"",""red""}),
IF(H53&lt;70,
SPARKLINE(H53,{""charttype"",""bar"";""max"",100;""color1"",""orange""}),
SPARKLINE(H53,{""charttype"",""bar"";""max"",100;""color1"",""green""}"&amp;")
)))"),"")</f>
        <v/>
      </c>
      <c r="J53" s="6"/>
      <c r="K53" s="17" t="s">
        <v>172</v>
      </c>
    </row>
    <row r="54">
      <c r="A54" s="6" t="str">
        <f t="shared" si="4"/>
        <v>API-049</v>
      </c>
      <c r="B54" s="14" t="s">
        <v>173</v>
      </c>
      <c r="C54" s="11" t="s">
        <v>32</v>
      </c>
      <c r="D54" s="11" t="s">
        <v>174</v>
      </c>
      <c r="E54" s="6"/>
      <c r="F54" s="6"/>
      <c r="G54" s="11" t="s">
        <v>66</v>
      </c>
      <c r="H54" s="11">
        <f t="shared" si="3"/>
        <v>0</v>
      </c>
      <c r="I54" s="6" t="str">
        <f>IFERROR(__xludf.DUMMYFUNCTION("IF(H54="""","""",
IF(H54&lt;30,
SPARKLINE(H54,{""charttype"",""bar"";""max"",100;""color1"",""red""}),
IF(H54&lt;70,
SPARKLINE(H54,{""charttype"",""bar"";""max"",100;""color1"",""orange""}),
SPARKLINE(H54,{""charttype"",""bar"";""max"",100;""color1"",""green""}"&amp;")
)))"),"")</f>
        <v/>
      </c>
      <c r="J54" s="6"/>
      <c r="K54" s="17" t="s">
        <v>175</v>
      </c>
    </row>
    <row r="55">
      <c r="A55" s="6" t="str">
        <f t="shared" si="4"/>
        <v>API-050</v>
      </c>
      <c r="B55" s="14" t="s">
        <v>176</v>
      </c>
      <c r="C55" s="11" t="s">
        <v>32</v>
      </c>
      <c r="D55" s="11" t="s">
        <v>177</v>
      </c>
      <c r="E55" s="6"/>
      <c r="F55" s="6"/>
      <c r="G55" s="11" t="s">
        <v>66</v>
      </c>
      <c r="H55" s="11">
        <f t="shared" si="3"/>
        <v>0</v>
      </c>
      <c r="I55" s="6" t="str">
        <f>IFERROR(__xludf.DUMMYFUNCTION("IF(H55="""","""",
IF(H55&lt;30,
SPARKLINE(H55,{""charttype"",""bar"";""max"",100;""color1"",""red""}),
IF(H55&lt;70,
SPARKLINE(H55,{""charttype"",""bar"";""max"",100;""color1"",""orange""}),
SPARKLINE(H55,{""charttype"",""bar"";""max"",100;""color1"",""green""}"&amp;")
)))"),"")</f>
        <v/>
      </c>
      <c r="J55" s="6"/>
      <c r="K55" s="17" t="s">
        <v>178</v>
      </c>
    </row>
    <row r="56">
      <c r="A56" s="6" t="str">
        <f t="shared" si="4"/>
        <v>API-051</v>
      </c>
      <c r="B56" s="14" t="s">
        <v>179</v>
      </c>
      <c r="C56" s="11" t="s">
        <v>32</v>
      </c>
      <c r="D56" s="11" t="s">
        <v>180</v>
      </c>
      <c r="E56" s="6"/>
      <c r="F56" s="6"/>
      <c r="G56" s="11" t="s">
        <v>66</v>
      </c>
      <c r="H56" s="11">
        <f t="shared" si="3"/>
        <v>0</v>
      </c>
      <c r="I56" s="6" t="str">
        <f>IFERROR(__xludf.DUMMYFUNCTION("IF(H56="""","""",
IF(H56&lt;30,
SPARKLINE(H56,{""charttype"",""bar"";""max"",100;""color1"",""red""}),
IF(H56&lt;70,
SPARKLINE(H56,{""charttype"",""bar"";""max"",100;""color1"",""orange""}),
SPARKLINE(H56,{""charttype"",""bar"";""max"",100;""color1"",""green""}"&amp;")
)))"),"")</f>
        <v/>
      </c>
      <c r="J56" s="6"/>
      <c r="K56" s="17" t="s">
        <v>181</v>
      </c>
    </row>
    <row r="57">
      <c r="A57" s="6" t="str">
        <f t="shared" si="4"/>
        <v>API-052</v>
      </c>
      <c r="B57" s="6"/>
      <c r="C57" s="11" t="s">
        <v>32</v>
      </c>
      <c r="D57" s="11" t="s">
        <v>182</v>
      </c>
      <c r="E57" s="6"/>
      <c r="F57" s="6"/>
      <c r="G57" s="6"/>
      <c r="H57" s="11">
        <f t="shared" si="3"/>
        <v>0</v>
      </c>
      <c r="I57" s="6" t="str">
        <f>IFERROR(__xludf.DUMMYFUNCTION("IF(H57="""","""",
IF(H57&lt;30,
SPARKLINE(H57,{""charttype"",""bar"";""max"",100;""color1"",""red""}),
IF(H57&lt;70,
SPARKLINE(H57,{""charttype"",""bar"";""max"",100;""color1"",""orange""}),
SPARKLINE(H57,{""charttype"",""bar"";""max"",100;""color1"",""green""}"&amp;")
)))"),"")</f>
        <v/>
      </c>
      <c r="J57" s="6"/>
      <c r="K57" s="17" t="s">
        <v>183</v>
      </c>
    </row>
    <row r="58">
      <c r="A58" s="6" t="str">
        <f t="shared" si="4"/>
        <v>API-053</v>
      </c>
      <c r="B58" s="6"/>
      <c r="C58" s="11" t="s">
        <v>32</v>
      </c>
      <c r="D58" s="11" t="s">
        <v>184</v>
      </c>
      <c r="E58" s="6"/>
      <c r="F58" s="6"/>
      <c r="G58" s="6"/>
      <c r="H58" s="11">
        <f t="shared" si="3"/>
        <v>0</v>
      </c>
      <c r="I58" s="6" t="str">
        <f>IFERROR(__xludf.DUMMYFUNCTION("IF(H58="""","""",
IF(H58&lt;30,
SPARKLINE(H58,{""charttype"",""bar"";""max"",100;""color1"",""red""}),
IF(H58&lt;70,
SPARKLINE(H58,{""charttype"",""bar"";""max"",100;""color1"",""orange""}),
SPARKLINE(H58,{""charttype"",""bar"";""max"",100;""color1"",""green""}"&amp;")
)))"),"")</f>
        <v/>
      </c>
      <c r="J58" s="6"/>
      <c r="K58" s="17" t="s">
        <v>185</v>
      </c>
    </row>
    <row r="59">
      <c r="A59" s="6" t="str">
        <f t="shared" si="4"/>
        <v>API-054</v>
      </c>
      <c r="B59" s="6"/>
      <c r="C59" s="11" t="s">
        <v>32</v>
      </c>
      <c r="D59" s="11" t="s">
        <v>186</v>
      </c>
      <c r="E59" s="6"/>
      <c r="F59" s="6"/>
      <c r="G59" s="6"/>
      <c r="H59" s="11">
        <f t="shared" si="3"/>
        <v>0</v>
      </c>
      <c r="I59" s="6" t="str">
        <f>IFERROR(__xludf.DUMMYFUNCTION("IF(H59="""","""",
IF(H59&lt;30,
SPARKLINE(H59,{""charttype"",""bar"";""max"",100;""color1"",""red""}),
IF(H59&lt;70,
SPARKLINE(H59,{""charttype"",""bar"";""max"",100;""color1"",""orange""}),
SPARKLINE(H59,{""charttype"",""bar"";""max"",100;""color1"",""green""}"&amp;")
)))"),"")</f>
        <v/>
      </c>
      <c r="J59" s="6"/>
      <c r="K59" s="17" t="s">
        <v>187</v>
      </c>
    </row>
    <row r="60">
      <c r="A60" s="6" t="str">
        <f t="shared" si="4"/>
        <v>API-055</v>
      </c>
      <c r="B60" s="6"/>
      <c r="C60" s="11" t="s">
        <v>32</v>
      </c>
      <c r="D60" s="11" t="s">
        <v>188</v>
      </c>
      <c r="E60" s="6"/>
      <c r="F60" s="6"/>
      <c r="G60" s="6"/>
      <c r="H60" s="11">
        <f t="shared" si="3"/>
        <v>0</v>
      </c>
      <c r="I60" s="6" t="str">
        <f>IFERROR(__xludf.DUMMYFUNCTION("IF(H60="""","""",
IF(H60&lt;30,
SPARKLINE(H60,{""charttype"",""bar"";""max"",100;""color1"",""red""}),
IF(H60&lt;70,
SPARKLINE(H60,{""charttype"",""bar"";""max"",100;""color1"",""orange""}),
SPARKLINE(H60,{""charttype"",""bar"";""max"",100;""color1"",""green""}"&amp;")
)))"),"")</f>
        <v/>
      </c>
      <c r="J60" s="6"/>
      <c r="K60" s="17" t="s">
        <v>189</v>
      </c>
    </row>
    <row r="61">
      <c r="A61" s="6" t="str">
        <f t="shared" si="4"/>
        <v>API-056</v>
      </c>
      <c r="B61" s="6"/>
      <c r="C61" s="11" t="s">
        <v>32</v>
      </c>
      <c r="D61" s="11" t="s">
        <v>190</v>
      </c>
      <c r="E61" s="6"/>
      <c r="F61" s="6"/>
      <c r="G61" s="6"/>
      <c r="H61" s="11">
        <f t="shared" si="3"/>
        <v>0</v>
      </c>
      <c r="I61" s="6" t="str">
        <f>IFERROR(__xludf.DUMMYFUNCTION("IF(H61="""","""",
IF(H61&lt;30,
SPARKLINE(H61,{""charttype"",""bar"";""max"",100;""color1"",""red""}),
IF(H61&lt;70,
SPARKLINE(H61,{""charttype"",""bar"";""max"",100;""color1"",""orange""}),
SPARKLINE(H61,{""charttype"",""bar"";""max"",100;""color1"",""green""}"&amp;")
)))"),"")</f>
        <v/>
      </c>
      <c r="J61" s="6"/>
      <c r="K61" s="17" t="s">
        <v>191</v>
      </c>
    </row>
    <row r="62">
      <c r="A62" s="6" t="str">
        <f t="shared" si="4"/>
        <v>API-057</v>
      </c>
      <c r="B62" s="6"/>
      <c r="C62" s="11" t="s">
        <v>32</v>
      </c>
      <c r="D62" s="11" t="s">
        <v>192</v>
      </c>
      <c r="E62" s="6"/>
      <c r="F62" s="6"/>
      <c r="G62" s="6"/>
      <c r="H62" s="11">
        <f t="shared" si="3"/>
        <v>0</v>
      </c>
      <c r="I62" s="6" t="str">
        <f>IFERROR(__xludf.DUMMYFUNCTION("IF(H62="""","""",
IF(H62&lt;30,
SPARKLINE(H62,{""charttype"",""bar"";""max"",100;""color1"",""red""}),
IF(H62&lt;70,
SPARKLINE(H62,{""charttype"",""bar"";""max"",100;""color1"",""orange""}),
SPARKLINE(H62,{""charttype"",""bar"";""max"",100;""color1"",""green""}"&amp;")
)))"),"")</f>
        <v/>
      </c>
      <c r="J62" s="6"/>
      <c r="K62" s="17" t="s">
        <v>193</v>
      </c>
    </row>
    <row r="63">
      <c r="A63" s="6" t="str">
        <f t="shared" si="4"/>
        <v>API-058</v>
      </c>
      <c r="B63" s="6"/>
      <c r="C63" s="11" t="s">
        <v>32</v>
      </c>
      <c r="D63" s="11" t="s">
        <v>194</v>
      </c>
      <c r="E63" s="11" t="s">
        <v>46</v>
      </c>
      <c r="F63" s="11" t="s">
        <v>47</v>
      </c>
      <c r="G63" s="11" t="s">
        <v>28</v>
      </c>
      <c r="H63" s="11">
        <f t="shared" si="3"/>
        <v>100</v>
      </c>
      <c r="I63" s="6" t="str">
        <f>IFERROR(__xludf.DUMMYFUNCTION("IF(H63="""","""",
IF(H63&lt;30,
SPARKLINE(H63,{""charttype"",""bar"";""max"",100;""color1"",""red""}),
IF(H63&lt;70,
SPARKLINE(H63,{""charttype"",""bar"";""max"",100;""color1"",""orange""}),
SPARKLINE(H63,{""charttype"",""bar"";""max"",100;""color1"",""green""}"&amp;")
)))"),"")</f>
        <v/>
      </c>
      <c r="J63" s="6"/>
      <c r="K63" s="17" t="s">
        <v>195</v>
      </c>
    </row>
    <row r="64">
      <c r="A64" s="6" t="str">
        <f t="shared" si="4"/>
        <v>API-059</v>
      </c>
      <c r="B64" s="6"/>
      <c r="C64" s="11" t="s">
        <v>32</v>
      </c>
      <c r="D64" s="11" t="s">
        <v>196</v>
      </c>
      <c r="E64" s="11" t="s">
        <v>46</v>
      </c>
      <c r="F64" s="11" t="s">
        <v>47</v>
      </c>
      <c r="G64" s="11" t="s">
        <v>28</v>
      </c>
      <c r="H64" s="11">
        <f t="shared" si="3"/>
        <v>100</v>
      </c>
      <c r="I64" s="6" t="str">
        <f>IFERROR(__xludf.DUMMYFUNCTION("IF(H64="""","""",
IF(H64&lt;30,
SPARKLINE(H64,{""charttype"",""bar"";""max"",100;""color1"",""red""}),
IF(H64&lt;70,
SPARKLINE(H64,{""charttype"",""bar"";""max"",100;""color1"",""orange""}),
SPARKLINE(H64,{""charttype"",""bar"";""max"",100;""color1"",""green""}"&amp;")
)))"),"")</f>
        <v/>
      </c>
      <c r="J64" s="6"/>
      <c r="K64" s="17" t="s">
        <v>197</v>
      </c>
    </row>
    <row r="65">
      <c r="A65" s="6" t="str">
        <f t="shared" si="4"/>
        <v>API-060</v>
      </c>
      <c r="B65" s="6"/>
      <c r="C65" s="11" t="s">
        <v>32</v>
      </c>
      <c r="D65" s="11" t="s">
        <v>198</v>
      </c>
      <c r="E65" s="11" t="s">
        <v>46</v>
      </c>
      <c r="F65" s="11" t="s">
        <v>59</v>
      </c>
      <c r="G65" s="11" t="s">
        <v>28</v>
      </c>
      <c r="H65" s="11">
        <f t="shared" si="3"/>
        <v>100</v>
      </c>
      <c r="I65" s="6" t="str">
        <f>IFERROR(__xludf.DUMMYFUNCTION("IF(H65="""","""",
IF(H65&lt;30,
SPARKLINE(H65,{""charttype"",""bar"";""max"",100;""color1"",""red""}),
IF(H65&lt;70,
SPARKLINE(H65,{""charttype"",""bar"";""max"",100;""color1"",""orange""}),
SPARKLINE(H65,{""charttype"",""bar"";""max"",100;""color1"",""green""}"&amp;")
)))"),"")</f>
        <v/>
      </c>
      <c r="J65" s="6"/>
      <c r="K65" s="17" t="s">
        <v>199</v>
      </c>
    </row>
    <row r="66">
      <c r="A66" s="6" t="str">
        <f t="shared" si="4"/>
        <v>API-061</v>
      </c>
      <c r="B66" s="6"/>
      <c r="C66" s="11" t="s">
        <v>32</v>
      </c>
      <c r="D66" s="11" t="s">
        <v>200</v>
      </c>
      <c r="E66" s="11" t="s">
        <v>46</v>
      </c>
      <c r="F66" s="11" t="s">
        <v>59</v>
      </c>
      <c r="G66" s="11" t="s">
        <v>28</v>
      </c>
      <c r="H66" s="11">
        <f t="shared" si="3"/>
        <v>100</v>
      </c>
      <c r="I66" s="6" t="str">
        <f>IFERROR(__xludf.DUMMYFUNCTION("IF(H66="""","""",
IF(H66&lt;30,
SPARKLINE(H66,{""charttype"",""bar"";""max"",100;""color1"",""red""}),
IF(H66&lt;70,
SPARKLINE(H66,{""charttype"",""bar"";""max"",100;""color1"",""orange""}),
SPARKLINE(H66,{""charttype"",""bar"";""max"",100;""color1"",""green""}"&amp;")
)))"),"")</f>
        <v/>
      </c>
      <c r="J66" s="6"/>
      <c r="K66" s="17" t="s">
        <v>201</v>
      </c>
    </row>
    <row r="67">
      <c r="A67" s="6" t="str">
        <f t="shared" si="4"/>
        <v>API-062</v>
      </c>
      <c r="B67" s="6"/>
      <c r="C67" s="11" t="s">
        <v>32</v>
      </c>
      <c r="D67" s="11" t="s">
        <v>202</v>
      </c>
      <c r="E67" s="11" t="s">
        <v>46</v>
      </c>
      <c r="F67" s="11" t="s">
        <v>47</v>
      </c>
      <c r="G67" s="11" t="s">
        <v>28</v>
      </c>
      <c r="H67" s="11">
        <f t="shared" si="3"/>
        <v>100</v>
      </c>
      <c r="I67" s="6" t="str">
        <f>IFERROR(__xludf.DUMMYFUNCTION("IF(H67="""","""",
IF(H67&lt;30,
SPARKLINE(H67,{""charttype"",""bar"";""max"",100;""color1"",""red""}),
IF(H67&lt;70,
SPARKLINE(H67,{""charttype"",""bar"";""max"",100;""color1"",""orange""}),
SPARKLINE(H67,{""charttype"",""bar"";""max"",100;""color1"",""green""}"&amp;")
)))"),"")</f>
        <v/>
      </c>
      <c r="J67" s="6"/>
      <c r="K67" s="17" t="s">
        <v>203</v>
      </c>
    </row>
    <row r="68">
      <c r="A68" s="6" t="str">
        <f t="shared" si="4"/>
        <v>API-063</v>
      </c>
      <c r="B68" s="6"/>
      <c r="C68" s="11" t="s">
        <v>32</v>
      </c>
      <c r="D68" s="11" t="s">
        <v>204</v>
      </c>
      <c r="E68" s="11" t="s">
        <v>46</v>
      </c>
      <c r="F68" s="11" t="s">
        <v>47</v>
      </c>
      <c r="G68" s="11" t="s">
        <v>28</v>
      </c>
      <c r="H68" s="11">
        <f t="shared" si="3"/>
        <v>100</v>
      </c>
      <c r="I68" s="6" t="str">
        <f>IFERROR(__xludf.DUMMYFUNCTION("IF(H68="""","""",
IF(H68&lt;30,
SPARKLINE(H68,{""charttype"",""bar"";""max"",100;""color1"",""red""}),
IF(H68&lt;70,
SPARKLINE(H68,{""charttype"",""bar"";""max"",100;""color1"",""orange""}),
SPARKLINE(H68,{""charttype"",""bar"";""max"",100;""color1"",""green""}"&amp;")
)))"),"")</f>
        <v/>
      </c>
      <c r="J68" s="6"/>
      <c r="K68" s="17" t="s">
        <v>205</v>
      </c>
    </row>
    <row r="69">
      <c r="A69" s="6" t="str">
        <f t="shared" si="4"/>
        <v>API-064</v>
      </c>
      <c r="B69" s="6"/>
      <c r="C69" s="11" t="s">
        <v>32</v>
      </c>
      <c r="D69" s="11" t="s">
        <v>206</v>
      </c>
      <c r="E69" s="11" t="s">
        <v>46</v>
      </c>
      <c r="F69" s="11" t="s">
        <v>47</v>
      </c>
      <c r="G69" s="11" t="s">
        <v>28</v>
      </c>
      <c r="H69" s="11">
        <f t="shared" si="3"/>
        <v>100</v>
      </c>
      <c r="I69" s="6" t="str">
        <f>IFERROR(__xludf.DUMMYFUNCTION("IF(H69="""","""",
IF(H69&lt;30,
SPARKLINE(H69,{""charttype"",""bar"";""max"",100;""color1"",""red""}),
IF(H69&lt;70,
SPARKLINE(H69,{""charttype"",""bar"";""max"",100;""color1"",""orange""}),
SPARKLINE(H69,{""charttype"",""bar"";""max"",100;""color1"",""green""}"&amp;")
)))"),"")</f>
        <v/>
      </c>
      <c r="J69" s="6"/>
      <c r="K69" s="17" t="s">
        <v>207</v>
      </c>
    </row>
    <row r="70">
      <c r="A70" s="6" t="str">
        <f t="shared" si="4"/>
        <v>API-065</v>
      </c>
      <c r="B70" s="6"/>
      <c r="C70" s="11" t="s">
        <v>32</v>
      </c>
      <c r="D70" s="11" t="s">
        <v>208</v>
      </c>
      <c r="E70" s="11" t="s">
        <v>46</v>
      </c>
      <c r="F70" s="11" t="s">
        <v>59</v>
      </c>
      <c r="G70" s="11" t="s">
        <v>28</v>
      </c>
      <c r="H70" s="11">
        <f t="shared" si="3"/>
        <v>100</v>
      </c>
      <c r="I70" s="6" t="str">
        <f>IFERROR(__xludf.DUMMYFUNCTION("IF(H70="""","""",
IF(H70&lt;30,
SPARKLINE(H70,{""charttype"",""bar"";""max"",100;""color1"",""red""}),
IF(H70&lt;70,
SPARKLINE(H70,{""charttype"",""bar"";""max"",100;""color1"",""orange""}),
SPARKLINE(H70,{""charttype"",""bar"";""max"",100;""color1"",""green""}"&amp;")
)))"),"")</f>
        <v/>
      </c>
      <c r="J70" s="6"/>
      <c r="K70" s="17" t="s">
        <v>209</v>
      </c>
    </row>
    <row r="71">
      <c r="A71" s="6" t="str">
        <f t="shared" si="4"/>
        <v>API-066</v>
      </c>
      <c r="B71" s="6"/>
      <c r="C71" s="11" t="s">
        <v>32</v>
      </c>
      <c r="D71" s="11" t="s">
        <v>210</v>
      </c>
      <c r="E71" s="11" t="s">
        <v>46</v>
      </c>
      <c r="F71" s="11" t="s">
        <v>211</v>
      </c>
      <c r="G71" s="11" t="s">
        <v>28</v>
      </c>
      <c r="H71" s="11">
        <f t="shared" si="3"/>
        <v>100</v>
      </c>
      <c r="I71" s="6" t="str">
        <f>IFERROR(__xludf.DUMMYFUNCTION("IF(H71="""","""",
IF(H71&lt;30,
SPARKLINE(H71,{""charttype"",""bar"";""max"",100;""color1"",""red""}),
IF(H71&lt;70,
SPARKLINE(H71,{""charttype"",""bar"";""max"",100;""color1"",""orange""}),
SPARKLINE(H71,{""charttype"",""bar"";""max"",100;""color1"",""green""}"&amp;")
)))"),"")</f>
        <v/>
      </c>
      <c r="J71" s="6"/>
      <c r="K71" s="17" t="s">
        <v>212</v>
      </c>
    </row>
    <row r="72">
      <c r="A72" s="6" t="str">
        <f t="shared" si="4"/>
        <v>API-067</v>
      </c>
      <c r="B72" s="6"/>
      <c r="C72" s="11" t="s">
        <v>32</v>
      </c>
      <c r="D72" s="11" t="s">
        <v>213</v>
      </c>
      <c r="E72" s="11" t="s">
        <v>46</v>
      </c>
      <c r="F72" s="11" t="s">
        <v>211</v>
      </c>
      <c r="G72" s="11" t="s">
        <v>28</v>
      </c>
      <c r="H72" s="11">
        <f t="shared" si="3"/>
        <v>100</v>
      </c>
      <c r="I72" s="6" t="str">
        <f>IFERROR(__xludf.DUMMYFUNCTION("IF(H72="""","""",
IF(H72&lt;30,
SPARKLINE(H72,{""charttype"",""bar"";""max"",100;""color1"",""red""}),
IF(H72&lt;70,
SPARKLINE(H72,{""charttype"",""bar"";""max"",100;""color1"",""orange""}),
SPARKLINE(H72,{""charttype"",""bar"";""max"",100;""color1"",""green""}"&amp;")
)))"),"")</f>
        <v/>
      </c>
      <c r="J72" s="6"/>
      <c r="K72" s="17" t="s">
        <v>214</v>
      </c>
    </row>
    <row r="73">
      <c r="A73" s="6" t="str">
        <f t="shared" si="4"/>
        <v>API-068</v>
      </c>
      <c r="B73" s="6"/>
      <c r="C73" s="11" t="s">
        <v>32</v>
      </c>
      <c r="D73" s="11" t="s">
        <v>215</v>
      </c>
      <c r="E73" s="11" t="s">
        <v>46</v>
      </c>
      <c r="F73" s="11" t="s">
        <v>211</v>
      </c>
      <c r="G73" s="11" t="s">
        <v>28</v>
      </c>
      <c r="H73" s="11">
        <f t="shared" si="3"/>
        <v>100</v>
      </c>
      <c r="I73" s="6" t="str">
        <f>IFERROR(__xludf.DUMMYFUNCTION("IF(H73="""","""",
IF(H73&lt;30,
SPARKLINE(H73,{""charttype"",""bar"";""max"",100;""color1"",""red""}),
IF(H73&lt;70,
SPARKLINE(H73,{""charttype"",""bar"";""max"",100;""color1"",""orange""}),
SPARKLINE(H73,{""charttype"",""bar"";""max"",100;""color1"",""green""}"&amp;")
)))"),"")</f>
        <v/>
      </c>
      <c r="J73" s="6"/>
      <c r="K73" s="17" t="s">
        <v>216</v>
      </c>
    </row>
    <row r="74">
      <c r="A74" s="6" t="str">
        <f t="shared" si="4"/>
        <v>API-069</v>
      </c>
      <c r="B74" s="6"/>
      <c r="C74" s="11" t="s">
        <v>32</v>
      </c>
      <c r="D74" s="11" t="s">
        <v>217</v>
      </c>
      <c r="E74" s="11" t="s">
        <v>46</v>
      </c>
      <c r="F74" s="11" t="s">
        <v>47</v>
      </c>
      <c r="G74" s="11" t="s">
        <v>28</v>
      </c>
      <c r="H74" s="11">
        <f t="shared" si="3"/>
        <v>100</v>
      </c>
      <c r="I74" s="6" t="str">
        <f>IFERROR(__xludf.DUMMYFUNCTION("IF(H74="""","""",
IF(H74&lt;30,
SPARKLINE(H74,{""charttype"",""bar"";""max"",100;""color1"",""red""}),
IF(H74&lt;70,
SPARKLINE(H74,{""charttype"",""bar"";""max"",100;""color1"",""orange""}),
SPARKLINE(H74,{""charttype"",""bar"";""max"",100;""color1"",""green""}"&amp;")
)))"),"")</f>
        <v/>
      </c>
      <c r="J74" s="6"/>
      <c r="K74" s="17" t="s">
        <v>218</v>
      </c>
    </row>
    <row r="75">
      <c r="A75" s="6" t="str">
        <f t="shared" si="4"/>
        <v>API-070</v>
      </c>
      <c r="B75" s="6"/>
      <c r="C75" s="11" t="s">
        <v>32</v>
      </c>
      <c r="D75" s="11" t="s">
        <v>219</v>
      </c>
      <c r="E75" s="11" t="s">
        <v>46</v>
      </c>
      <c r="F75" s="6"/>
      <c r="G75" s="11" t="s">
        <v>66</v>
      </c>
      <c r="H75" s="11">
        <f t="shared" si="3"/>
        <v>0</v>
      </c>
      <c r="I75" s="6" t="str">
        <f>IFERROR(__xludf.DUMMYFUNCTION("IF(H75="""","""",
IF(H75&lt;30,
SPARKLINE(H75,{""charttype"",""bar"";""max"",100;""color1"",""red""}),
IF(H75&lt;70,
SPARKLINE(H75,{""charttype"",""bar"";""max"",100;""color1"",""orange""}),
SPARKLINE(H75,{""charttype"",""bar"";""max"",100;""color1"",""green""}"&amp;")
)))"),"")</f>
        <v/>
      </c>
      <c r="J75" s="6"/>
      <c r="K75" s="17" t="s">
        <v>220</v>
      </c>
    </row>
    <row r="76">
      <c r="A76" s="6" t="str">
        <f t="shared" si="4"/>
        <v>API-071</v>
      </c>
      <c r="B76" s="6"/>
      <c r="C76" s="11" t="s">
        <v>32</v>
      </c>
      <c r="D76" s="11" t="s">
        <v>221</v>
      </c>
      <c r="E76" s="11" t="s">
        <v>46</v>
      </c>
      <c r="F76" s="6"/>
      <c r="G76" s="11" t="s">
        <v>66</v>
      </c>
      <c r="H76" s="11">
        <f t="shared" si="3"/>
        <v>0</v>
      </c>
      <c r="I76" s="6" t="str">
        <f>IFERROR(__xludf.DUMMYFUNCTION("IF(H76="""","""",
IF(H76&lt;30,
SPARKLINE(H76,{""charttype"",""bar"";""max"",100;""color1"",""red""}),
IF(H76&lt;70,
SPARKLINE(H76,{""charttype"",""bar"";""max"",100;""color1"",""orange""}),
SPARKLINE(H76,{""charttype"",""bar"";""max"",100;""color1"",""green""}"&amp;")
)))"),"")</f>
        <v/>
      </c>
      <c r="J76" s="6"/>
      <c r="K76" s="17" t="s">
        <v>222</v>
      </c>
    </row>
    <row r="77">
      <c r="A77" s="6" t="str">
        <f t="shared" si="4"/>
        <v>API-072</v>
      </c>
      <c r="B77" s="6"/>
      <c r="C77" s="11" t="s">
        <v>32</v>
      </c>
      <c r="D77" s="11" t="s">
        <v>223</v>
      </c>
      <c r="E77" s="11"/>
      <c r="F77" s="6"/>
      <c r="G77" s="11" t="s">
        <v>66</v>
      </c>
      <c r="H77" s="11">
        <f t="shared" si="3"/>
        <v>0</v>
      </c>
      <c r="I77" s="6" t="str">
        <f>IFERROR(__xludf.DUMMYFUNCTION("IF(H77="""","""",
IF(H77&lt;30,
SPARKLINE(H77,{""charttype"",""bar"";""max"",100;""color1"",""red""}),
IF(H77&lt;70,
SPARKLINE(H77,{""charttype"",""bar"";""max"",100;""color1"",""orange""}),
SPARKLINE(H77,{""charttype"",""bar"";""max"",100;""color1"",""green""}"&amp;")
)))"),"")</f>
        <v/>
      </c>
      <c r="J77" s="6"/>
      <c r="K77" s="17" t="s">
        <v>224</v>
      </c>
    </row>
    <row r="78">
      <c r="A78" s="6" t="str">
        <f t="shared" si="4"/>
        <v>API-073</v>
      </c>
      <c r="B78" s="6"/>
      <c r="C78" s="11" t="s">
        <v>32</v>
      </c>
      <c r="D78" s="11" t="s">
        <v>225</v>
      </c>
      <c r="E78" s="6"/>
      <c r="F78" s="6"/>
      <c r="G78" s="6"/>
      <c r="H78" s="11">
        <f t="shared" si="3"/>
        <v>0</v>
      </c>
      <c r="I78" s="6" t="str">
        <f>IFERROR(__xludf.DUMMYFUNCTION("IF(H78="""","""",
IF(H78&lt;30,
SPARKLINE(H78,{""charttype"",""bar"";""max"",100;""color1"",""red""}),
IF(H78&lt;70,
SPARKLINE(H78,{""charttype"",""bar"";""max"",100;""color1"",""orange""}),
SPARKLINE(H78,{""charttype"",""bar"";""max"",100;""color1"",""green""}"&amp;")
)))"),"")</f>
        <v/>
      </c>
      <c r="J78" s="6"/>
      <c r="K78" s="17" t="s">
        <v>226</v>
      </c>
    </row>
    <row r="79">
      <c r="A79" s="6" t="str">
        <f t="shared" si="4"/>
        <v>API-074</v>
      </c>
      <c r="B79" s="6"/>
      <c r="C79" s="11" t="s">
        <v>32</v>
      </c>
      <c r="D79" s="11" t="s">
        <v>227</v>
      </c>
      <c r="E79" s="11" t="s">
        <v>46</v>
      </c>
      <c r="F79" s="11" t="s">
        <v>59</v>
      </c>
      <c r="G79" s="11" t="s">
        <v>28</v>
      </c>
      <c r="H79" s="11">
        <f t="shared" si="3"/>
        <v>100</v>
      </c>
      <c r="I79" s="6" t="str">
        <f>IFERROR(__xludf.DUMMYFUNCTION("IF(H79="""","""",
IF(H79&lt;30,
SPARKLINE(H79,{""charttype"",""bar"";""max"",100;""color1"",""red""}),
IF(H79&lt;70,
SPARKLINE(H79,{""charttype"",""bar"";""max"",100;""color1"",""orange""}),
SPARKLINE(H79,{""charttype"",""bar"";""max"",100;""color1"",""green""}"&amp;")
)))"),"")</f>
        <v/>
      </c>
      <c r="J79" s="6"/>
      <c r="K79" s="17" t="s">
        <v>224</v>
      </c>
    </row>
    <row r="80">
      <c r="A80" s="6" t="str">
        <f t="shared" si="4"/>
        <v>API-075</v>
      </c>
      <c r="B80" s="6"/>
      <c r="C80" s="11" t="s">
        <v>32</v>
      </c>
      <c r="D80" s="11" t="s">
        <v>228</v>
      </c>
      <c r="E80" s="11" t="s">
        <v>46</v>
      </c>
      <c r="F80" s="11" t="s">
        <v>211</v>
      </c>
      <c r="G80" s="11" t="s">
        <v>28</v>
      </c>
      <c r="H80" s="11">
        <f t="shared" si="3"/>
        <v>100</v>
      </c>
      <c r="I80" s="6" t="str">
        <f>IFERROR(__xludf.DUMMYFUNCTION("IF(H80="""","""",
IF(H80&lt;30,
SPARKLINE(H80,{""charttype"",""bar"";""max"",100;""color1"",""red""}),
IF(H80&lt;70,
SPARKLINE(H80,{""charttype"",""bar"";""max"",100;""color1"",""orange""}),
SPARKLINE(H80,{""charttype"",""bar"";""max"",100;""color1"",""green""}"&amp;")
)))"),"")</f>
        <v/>
      </c>
      <c r="J80" s="6"/>
      <c r="K80" s="17" t="s">
        <v>224</v>
      </c>
    </row>
    <row r="81">
      <c r="A81" s="6" t="str">
        <f t="shared" si="4"/>
        <v>API-076</v>
      </c>
      <c r="B81" s="6"/>
      <c r="C81" s="11" t="s">
        <v>32</v>
      </c>
      <c r="D81" s="11" t="s">
        <v>229</v>
      </c>
      <c r="E81" s="11" t="s">
        <v>46</v>
      </c>
      <c r="F81" s="11" t="s">
        <v>59</v>
      </c>
      <c r="G81" s="11" t="s">
        <v>28</v>
      </c>
      <c r="H81" s="11">
        <f t="shared" si="3"/>
        <v>100</v>
      </c>
      <c r="I81" s="6" t="str">
        <f>IFERROR(__xludf.DUMMYFUNCTION("IF(H81="""","""",
IF(H81&lt;30,
SPARKLINE(H81,{""charttype"",""bar"";""max"",100;""color1"",""red""}),
IF(H81&lt;70,
SPARKLINE(H81,{""charttype"",""bar"";""max"",100;""color1"",""orange""}),
SPARKLINE(H81,{""charttype"",""bar"";""max"",100;""color1"",""green""}"&amp;")
)))"),"")</f>
        <v/>
      </c>
      <c r="J81" s="6"/>
      <c r="K81" s="17" t="s">
        <v>224</v>
      </c>
    </row>
    <row r="82">
      <c r="A82" s="6" t="str">
        <f t="shared" si="4"/>
        <v>API-077</v>
      </c>
      <c r="B82" s="6"/>
      <c r="C82" s="11" t="s">
        <v>32</v>
      </c>
      <c r="D82" s="11" t="s">
        <v>230</v>
      </c>
      <c r="E82" s="11" t="s">
        <v>46</v>
      </c>
      <c r="F82" s="11" t="s">
        <v>47</v>
      </c>
      <c r="G82" s="11" t="s">
        <v>28</v>
      </c>
      <c r="H82" s="11">
        <f t="shared" si="3"/>
        <v>100</v>
      </c>
      <c r="I82" s="6" t="str">
        <f>IFERROR(__xludf.DUMMYFUNCTION("IF(H82="""","""",
IF(H82&lt;30,
SPARKLINE(H82,{""charttype"",""bar"";""max"",100;""color1"",""red""}),
IF(H82&lt;70,
SPARKLINE(H82,{""charttype"",""bar"";""max"",100;""color1"",""orange""}),
SPARKLINE(H82,{""charttype"",""bar"";""max"",100;""color1"",""green""}"&amp;")
)))"),"")</f>
        <v/>
      </c>
      <c r="J82" s="6"/>
      <c r="K82" s="17" t="s">
        <v>224</v>
      </c>
    </row>
    <row r="83">
      <c r="A83" s="6" t="str">
        <f t="shared" si="4"/>
        <v>API-078</v>
      </c>
      <c r="B83" s="6"/>
      <c r="C83" s="11" t="s">
        <v>32</v>
      </c>
      <c r="D83" s="11" t="s">
        <v>231</v>
      </c>
      <c r="E83" s="11" t="s">
        <v>46</v>
      </c>
      <c r="F83" s="11" t="s">
        <v>59</v>
      </c>
      <c r="G83" s="11" t="s">
        <v>28</v>
      </c>
      <c r="H83" s="11">
        <f t="shared" si="3"/>
        <v>100</v>
      </c>
      <c r="I83" s="6" t="str">
        <f>IFERROR(__xludf.DUMMYFUNCTION("IF(H83="""","""",
IF(H83&lt;30,
SPARKLINE(H83,{""charttype"",""bar"";""max"",100;""color1"",""red""}),
IF(H83&lt;70,
SPARKLINE(H83,{""charttype"",""bar"";""max"",100;""color1"",""orange""}),
SPARKLINE(H83,{""charttype"",""bar"";""max"",100;""color1"",""green""}"&amp;")
)))"),"")</f>
        <v/>
      </c>
      <c r="J83" s="6"/>
      <c r="K83" s="17" t="s">
        <v>224</v>
      </c>
    </row>
    <row r="84">
      <c r="A84" s="6" t="str">
        <f t="shared" si="4"/>
        <v>API-079</v>
      </c>
      <c r="B84" s="6"/>
      <c r="C84" s="11" t="s">
        <v>32</v>
      </c>
      <c r="D84" s="11" t="s">
        <v>232</v>
      </c>
      <c r="E84" s="11" t="s">
        <v>46</v>
      </c>
      <c r="F84" s="11" t="s">
        <v>47</v>
      </c>
      <c r="G84" s="11" t="s">
        <v>28</v>
      </c>
      <c r="H84" s="11">
        <f t="shared" si="3"/>
        <v>100</v>
      </c>
      <c r="I84" s="6" t="str">
        <f>IFERROR(__xludf.DUMMYFUNCTION("IF(H84="""","""",
IF(H84&lt;30,
SPARKLINE(H84,{""charttype"",""bar"";""max"",100;""color1"",""red""}),
IF(H84&lt;70,
SPARKLINE(H84,{""charttype"",""bar"";""max"",100;""color1"",""orange""}),
SPARKLINE(H84,{""charttype"",""bar"";""max"",100;""color1"",""green""}"&amp;")
)))"),"")</f>
        <v/>
      </c>
      <c r="J84" s="6"/>
      <c r="K84" s="17" t="s">
        <v>224</v>
      </c>
    </row>
    <row r="85">
      <c r="A85" s="6" t="str">
        <f t="shared" si="4"/>
        <v/>
      </c>
      <c r="B85" s="6"/>
      <c r="C85" s="6"/>
      <c r="D85" s="19"/>
      <c r="E85" s="6"/>
      <c r="F85" s="6"/>
      <c r="G85" s="6"/>
      <c r="H85" s="11">
        <f t="shared" si="3"/>
        <v>0</v>
      </c>
      <c r="I85" s="6" t="str">
        <f>IFERROR(__xludf.DUMMYFUNCTION("IF(H85="""","""",
IF(H85&lt;30,
SPARKLINE(H85,{""charttype"",""bar"";""max"",100;""color1"",""red""}),
IF(H85&lt;70,
SPARKLINE(H85,{""charttype"",""bar"";""max"",100;""color1"",""orange""}),
SPARKLINE(H85,{""charttype"",""bar"";""max"",100;""color1"",""green""}"&amp;")
)))"),"")</f>
        <v/>
      </c>
      <c r="J85" s="6"/>
      <c r="K85" s="6"/>
    </row>
    <row r="86">
      <c r="A86" s="6" t="str">
        <f t="shared" si="4"/>
        <v/>
      </c>
      <c r="B86" s="6"/>
      <c r="C86" s="6"/>
      <c r="D86" s="19"/>
      <c r="E86" s="6"/>
      <c r="F86" s="6"/>
      <c r="G86" s="6"/>
      <c r="H86" s="11">
        <f t="shared" si="3"/>
        <v>0</v>
      </c>
      <c r="I86" s="6" t="str">
        <f>IFERROR(__xludf.DUMMYFUNCTION("IF(H86="""","""",
IF(H86&lt;30,
SPARKLINE(H86,{""charttype"",""bar"";""max"",100;""color1"",""red""}),
IF(H86&lt;70,
SPARKLINE(H86,{""charttype"",""bar"";""max"",100;""color1"",""orange""}),
SPARKLINE(H86,{""charttype"",""bar"";""max"",100;""color1"",""green""}"&amp;")
)))"),"")</f>
        <v/>
      </c>
      <c r="J86" s="6"/>
      <c r="K86" s="6"/>
    </row>
    <row r="87">
      <c r="A87" s="6" t="str">
        <f t="shared" si="4"/>
        <v/>
      </c>
      <c r="B87" s="6"/>
      <c r="C87" s="6"/>
      <c r="D87" s="19"/>
      <c r="E87" s="6"/>
      <c r="F87" s="6"/>
      <c r="G87" s="6"/>
      <c r="H87" s="11">
        <f t="shared" si="3"/>
        <v>0</v>
      </c>
      <c r="I87" s="6" t="str">
        <f>IFERROR(__xludf.DUMMYFUNCTION("IF(H87="""","""",
IF(H87&lt;30,
SPARKLINE(H87,{""charttype"",""bar"";""max"",100;""color1"",""red""}),
IF(H87&lt;70,
SPARKLINE(H87,{""charttype"",""bar"";""max"",100;""color1"",""orange""}),
SPARKLINE(H87,{""charttype"",""bar"";""max"",100;""color1"",""green""}"&amp;")
)))"),"")</f>
        <v/>
      </c>
      <c r="J87" s="6"/>
      <c r="K87" s="6"/>
    </row>
    <row r="88">
      <c r="A88" s="6" t="str">
        <f t="shared" si="4"/>
        <v/>
      </c>
      <c r="B88" s="6"/>
      <c r="C88" s="6"/>
      <c r="D88" s="19"/>
      <c r="E88" s="6"/>
      <c r="F88" s="6"/>
      <c r="G88" s="6"/>
      <c r="H88" s="11">
        <f t="shared" si="3"/>
        <v>0</v>
      </c>
      <c r="I88" s="6" t="str">
        <f>IFERROR(__xludf.DUMMYFUNCTION("IF(H88="""","""",
IF(H88&lt;30,
SPARKLINE(H88,{""charttype"",""bar"";""max"",100;""color1"",""red""}),
IF(H88&lt;70,
SPARKLINE(H88,{""charttype"",""bar"";""max"",100;""color1"",""orange""}),
SPARKLINE(H88,{""charttype"",""bar"";""max"",100;""color1"",""green""}"&amp;")
)))"),"")</f>
        <v/>
      </c>
      <c r="J88" s="6"/>
      <c r="K88" s="6"/>
    </row>
    <row r="89">
      <c r="A89" s="6" t="str">
        <f t="shared" si="4"/>
        <v/>
      </c>
      <c r="B89" s="6"/>
      <c r="C89" s="6"/>
      <c r="D89" s="19"/>
      <c r="E89" s="6"/>
      <c r="F89" s="6"/>
      <c r="G89" s="6"/>
      <c r="H89" s="11">
        <f t="shared" si="3"/>
        <v>0</v>
      </c>
      <c r="I89" s="6" t="str">
        <f>IFERROR(__xludf.DUMMYFUNCTION("IF(H89="""","""",
IF(H89&lt;30,
SPARKLINE(H89,{""charttype"",""bar"";""max"",100;""color1"",""red""}),
IF(H89&lt;70,
SPARKLINE(H89,{""charttype"",""bar"";""max"",100;""color1"",""orange""}),
SPARKLINE(H89,{""charttype"",""bar"";""max"",100;""color1"",""green""}"&amp;")
)))"),"")</f>
        <v/>
      </c>
      <c r="J89" s="6"/>
      <c r="K89" s="6"/>
    </row>
    <row r="90">
      <c r="A90" s="6" t="str">
        <f t="shared" si="4"/>
        <v/>
      </c>
      <c r="B90" s="6"/>
      <c r="C90" s="6"/>
      <c r="D90" s="19"/>
      <c r="E90" s="6"/>
      <c r="F90" s="6"/>
      <c r="G90" s="6"/>
      <c r="H90" s="11">
        <f t="shared" si="3"/>
        <v>0</v>
      </c>
      <c r="I90" s="6" t="str">
        <f>IFERROR(__xludf.DUMMYFUNCTION("IF(H90="""","""",
IF(H90&lt;30,
SPARKLINE(H90,{""charttype"",""bar"";""max"",100;""color1"",""red""}),
IF(H90&lt;70,
SPARKLINE(H90,{""charttype"",""bar"";""max"",100;""color1"",""orange""}),
SPARKLINE(H90,{""charttype"",""bar"";""max"",100;""color1"",""green""}"&amp;")
)))"),"")</f>
        <v/>
      </c>
      <c r="J90" s="6"/>
      <c r="K90" s="6"/>
    </row>
    <row r="91">
      <c r="A91" s="6" t="str">
        <f t="shared" si="4"/>
        <v/>
      </c>
      <c r="B91" s="6"/>
      <c r="C91" s="6"/>
      <c r="D91" s="19"/>
      <c r="E91" s="6"/>
      <c r="F91" s="6"/>
      <c r="G91" s="6"/>
      <c r="H91" s="11">
        <f t="shared" si="3"/>
        <v>0</v>
      </c>
      <c r="I91" s="6" t="str">
        <f>IFERROR(__xludf.DUMMYFUNCTION("IF(H91="""","""",
IF(H91&lt;30,
SPARKLINE(H91,{""charttype"",""bar"";""max"",100;""color1"",""red""}),
IF(H91&lt;70,
SPARKLINE(H91,{""charttype"",""bar"";""max"",100;""color1"",""orange""}),
SPARKLINE(H91,{""charttype"",""bar"";""max"",100;""color1"",""green""}"&amp;")
)))"),"")</f>
        <v/>
      </c>
      <c r="J91" s="6"/>
      <c r="K91" s="6"/>
    </row>
    <row r="92">
      <c r="A92" s="6" t="str">
        <f t="shared" si="4"/>
        <v/>
      </c>
      <c r="B92" s="6"/>
      <c r="C92" s="6"/>
      <c r="D92" s="19"/>
      <c r="E92" s="6"/>
      <c r="F92" s="6"/>
      <c r="G92" s="6"/>
      <c r="H92" s="11">
        <f t="shared" si="3"/>
        <v>0</v>
      </c>
      <c r="I92" s="6" t="str">
        <f>IFERROR(__xludf.DUMMYFUNCTION("IF(H92="""","""",
IF(H92&lt;30,
SPARKLINE(H92,{""charttype"",""bar"";""max"",100;""color1"",""red""}),
IF(H92&lt;70,
SPARKLINE(H92,{""charttype"",""bar"";""max"",100;""color1"",""orange""}),
SPARKLINE(H92,{""charttype"",""bar"";""max"",100;""color1"",""green""}"&amp;")
)))"),"")</f>
        <v/>
      </c>
      <c r="J92" s="6"/>
      <c r="K92" s="6"/>
    </row>
    <row r="93">
      <c r="A93" s="6" t="str">
        <f t="shared" si="4"/>
        <v/>
      </c>
      <c r="B93" s="6"/>
      <c r="C93" s="6"/>
      <c r="D93" s="19"/>
      <c r="E93" s="6"/>
      <c r="F93" s="6"/>
      <c r="G93" s="6"/>
      <c r="H93" s="11">
        <f t="shared" si="3"/>
        <v>0</v>
      </c>
      <c r="I93" s="6" t="str">
        <f>IFERROR(__xludf.DUMMYFUNCTION("IF(H93="""","""",
IF(H93&lt;30,
SPARKLINE(H93,{""charttype"",""bar"";""max"",100;""color1"",""red""}),
IF(H93&lt;70,
SPARKLINE(H93,{""charttype"",""bar"";""max"",100;""color1"",""orange""}),
SPARKLINE(H93,{""charttype"",""bar"";""max"",100;""color1"",""green""}"&amp;")
)))"),"")</f>
        <v/>
      </c>
      <c r="J93" s="6"/>
      <c r="K93" s="6"/>
    </row>
    <row r="94">
      <c r="A94" s="6" t="str">
        <f t="shared" si="4"/>
        <v/>
      </c>
      <c r="B94" s="6"/>
      <c r="C94" s="6"/>
      <c r="D94" s="19"/>
      <c r="E94" s="6"/>
      <c r="F94" s="6"/>
      <c r="G94" s="6"/>
      <c r="H94" s="11">
        <f t="shared" si="3"/>
        <v>0</v>
      </c>
      <c r="I94" s="6" t="str">
        <f>IFERROR(__xludf.DUMMYFUNCTION("IF(H94="""","""",
IF(H94&lt;30,
SPARKLINE(H94,{""charttype"",""bar"";""max"",100;""color1"",""red""}),
IF(H94&lt;70,
SPARKLINE(H94,{""charttype"",""bar"";""max"",100;""color1"",""orange""}),
SPARKLINE(H94,{""charttype"",""bar"";""max"",100;""color1"",""green""}"&amp;")
)))"),"")</f>
        <v/>
      </c>
      <c r="J94" s="6"/>
      <c r="K94" s="6"/>
    </row>
    <row r="95">
      <c r="A95" s="6" t="str">
        <f t="shared" si="4"/>
        <v/>
      </c>
      <c r="B95" s="6"/>
      <c r="C95" s="6"/>
      <c r="D95" s="19"/>
      <c r="E95" s="6"/>
      <c r="F95" s="6"/>
      <c r="G95" s="6"/>
      <c r="H95" s="11">
        <f t="shared" si="3"/>
        <v>0</v>
      </c>
      <c r="I95" s="6" t="str">
        <f>IFERROR(__xludf.DUMMYFUNCTION("IF(H95="""","""",
IF(H95&lt;30,
SPARKLINE(H95,{""charttype"",""bar"";""max"",100;""color1"",""red""}),
IF(H95&lt;70,
SPARKLINE(H95,{""charttype"",""bar"";""max"",100;""color1"",""orange""}),
SPARKLINE(H95,{""charttype"",""bar"";""max"",100;""color1"",""green""}"&amp;")
)))"),"")</f>
        <v/>
      </c>
      <c r="J95" s="6"/>
      <c r="K95" s="6"/>
    </row>
    <row r="96">
      <c r="A96" s="6" t="str">
        <f t="shared" si="4"/>
        <v/>
      </c>
      <c r="B96" s="6"/>
      <c r="C96" s="6"/>
      <c r="D96" s="19"/>
      <c r="E96" s="6"/>
      <c r="F96" s="6"/>
      <c r="G96" s="6"/>
      <c r="H96" s="11">
        <f t="shared" si="3"/>
        <v>0</v>
      </c>
      <c r="I96" s="6" t="str">
        <f>IFERROR(__xludf.DUMMYFUNCTION("IF(H96="""","""",
IF(H96&lt;30,
SPARKLINE(H96,{""charttype"",""bar"";""max"",100;""color1"",""red""}),
IF(H96&lt;70,
SPARKLINE(H96,{""charttype"",""bar"";""max"",100;""color1"",""orange""}),
SPARKLINE(H96,{""charttype"",""bar"";""max"",100;""color1"",""green""}"&amp;")
)))"),"")</f>
        <v/>
      </c>
      <c r="J96" s="6"/>
      <c r="K96" s="6"/>
    </row>
    <row r="97">
      <c r="A97" s="6" t="str">
        <f t="shared" si="4"/>
        <v/>
      </c>
      <c r="B97" s="6"/>
      <c r="C97" s="6"/>
      <c r="D97" s="19"/>
      <c r="E97" s="6"/>
      <c r="F97" s="6"/>
      <c r="G97" s="6"/>
      <c r="H97" s="11">
        <f t="shared" si="3"/>
        <v>0</v>
      </c>
      <c r="I97" s="6" t="str">
        <f>IFERROR(__xludf.DUMMYFUNCTION("IF(H97="""","""",
IF(H97&lt;30,
SPARKLINE(H97,{""charttype"",""bar"";""max"",100;""color1"",""red""}),
IF(H97&lt;70,
SPARKLINE(H97,{""charttype"",""bar"";""max"",100;""color1"",""orange""}),
SPARKLINE(H97,{""charttype"",""bar"";""max"",100;""color1"",""green""}"&amp;")
)))"),"")</f>
        <v/>
      </c>
      <c r="J97" s="6"/>
      <c r="K97" s="6"/>
    </row>
    <row r="98">
      <c r="A98" s="6" t="str">
        <f t="shared" si="4"/>
        <v/>
      </c>
      <c r="B98" s="6"/>
      <c r="C98" s="6"/>
      <c r="D98" s="19"/>
      <c r="E98" s="6"/>
      <c r="F98" s="6"/>
      <c r="G98" s="6"/>
      <c r="H98" s="11">
        <f t="shared" si="3"/>
        <v>0</v>
      </c>
      <c r="I98" s="6" t="str">
        <f>IFERROR(__xludf.DUMMYFUNCTION("IF(H98="""","""",
IF(H98&lt;30,
SPARKLINE(H98,{""charttype"",""bar"";""max"",100;""color1"",""red""}),
IF(H98&lt;70,
SPARKLINE(H98,{""charttype"",""bar"";""max"",100;""color1"",""orange""}),
SPARKLINE(H98,{""charttype"",""bar"";""max"",100;""color1"",""green""}"&amp;")
)))"),"")</f>
        <v/>
      </c>
      <c r="J98" s="6"/>
      <c r="K98" s="6"/>
    </row>
    <row r="99">
      <c r="A99" s="6" t="str">
        <f t="shared" si="4"/>
        <v/>
      </c>
      <c r="B99" s="6"/>
      <c r="C99" s="6"/>
      <c r="D99" s="19"/>
      <c r="E99" s="6"/>
      <c r="F99" s="6"/>
      <c r="G99" s="6"/>
      <c r="H99" s="11">
        <f t="shared" si="3"/>
        <v>0</v>
      </c>
      <c r="I99" s="6" t="str">
        <f>IFERROR(__xludf.DUMMYFUNCTION("IF(H99="""","""",
IF(H99&lt;30,
SPARKLINE(H99,{""charttype"",""bar"";""max"",100;""color1"",""red""}),
IF(H99&lt;70,
SPARKLINE(H99,{""charttype"",""bar"";""max"",100;""color1"",""orange""}),
SPARKLINE(H99,{""charttype"",""bar"";""max"",100;""color1"",""green""}"&amp;")
)))"),"")</f>
        <v/>
      </c>
      <c r="J99" s="6"/>
      <c r="K99" s="6"/>
    </row>
    <row r="100">
      <c r="A100" s="6" t="str">
        <f t="shared" si="4"/>
        <v/>
      </c>
      <c r="B100" s="6"/>
      <c r="C100" s="6"/>
      <c r="D100" s="19"/>
      <c r="E100" s="6"/>
      <c r="F100" s="6"/>
      <c r="G100" s="6"/>
      <c r="H100" s="11">
        <f t="shared" si="3"/>
        <v>0</v>
      </c>
      <c r="I100" s="6" t="str">
        <f>IFERROR(__xludf.DUMMYFUNCTION("IF(H100="""","""",
IF(H100&lt;30,
SPARKLINE(H100,{""charttype"",""bar"";""max"",100;""color1"",""red""}),
IF(H100&lt;70,
SPARKLINE(H100,{""charttype"",""bar"";""max"",100;""color1"",""orange""}),
SPARKLINE(H100,{""charttype"",""bar"";""max"",100;""color1"",""gr"&amp;"een""})
)))"),"")</f>
        <v/>
      </c>
      <c r="J100" s="6"/>
      <c r="K100" s="6"/>
    </row>
    <row r="101">
      <c r="A101" s="6" t="str">
        <f t="shared" si="4"/>
        <v/>
      </c>
      <c r="B101" s="6"/>
      <c r="C101" s="6"/>
      <c r="D101" s="19"/>
      <c r="E101" s="6"/>
      <c r="F101" s="6"/>
      <c r="G101" s="6"/>
      <c r="H101" s="11">
        <f t="shared" si="3"/>
        <v>0</v>
      </c>
      <c r="I101" s="6" t="str">
        <f>IFERROR(__xludf.DUMMYFUNCTION("IF(H101="""","""",
IF(H101&lt;30,
SPARKLINE(H101,{""charttype"",""bar"";""max"",100;""color1"",""red""}),
IF(H101&lt;70,
SPARKLINE(H101,{""charttype"",""bar"";""max"",100;""color1"",""orange""}),
SPARKLINE(H101,{""charttype"",""bar"";""max"",100;""color1"",""gr"&amp;"een""})
)))"),"")</f>
        <v/>
      </c>
      <c r="J101" s="6"/>
      <c r="K101" s="6"/>
    </row>
    <row r="102">
      <c r="A102" s="6" t="str">
        <f t="shared" si="4"/>
        <v/>
      </c>
      <c r="B102" s="6"/>
      <c r="C102" s="6"/>
      <c r="D102" s="19"/>
      <c r="E102" s="6"/>
      <c r="F102" s="6"/>
      <c r="G102" s="6"/>
      <c r="H102" s="11">
        <f t="shared" si="3"/>
        <v>0</v>
      </c>
      <c r="I102" s="6" t="str">
        <f>IFERROR(__xludf.DUMMYFUNCTION("IF(H102="""","""",
IF(H102&lt;30,
SPARKLINE(H102,{""charttype"",""bar"";""max"",100;""color1"",""red""}),
IF(H102&lt;70,
SPARKLINE(H102,{""charttype"",""bar"";""max"",100;""color1"",""orange""}),
SPARKLINE(H102,{""charttype"",""bar"";""max"",100;""color1"",""gr"&amp;"een""})
)))"),"")</f>
        <v/>
      </c>
      <c r="J102" s="6"/>
      <c r="K102" s="6"/>
    </row>
    <row r="103">
      <c r="A103" s="6" t="str">
        <f t="shared" si="4"/>
        <v/>
      </c>
      <c r="B103" s="6"/>
      <c r="C103" s="6"/>
      <c r="D103" s="19"/>
      <c r="E103" s="6"/>
      <c r="F103" s="6"/>
      <c r="G103" s="6"/>
      <c r="H103" s="11">
        <f t="shared" si="3"/>
        <v>0</v>
      </c>
      <c r="I103" s="6" t="str">
        <f>IFERROR(__xludf.DUMMYFUNCTION("IF(H103="""","""",
IF(H103&lt;30,
SPARKLINE(H103,{""charttype"",""bar"";""max"",100;""color1"",""red""}),
IF(H103&lt;70,
SPARKLINE(H103,{""charttype"",""bar"";""max"",100;""color1"",""orange""}),
SPARKLINE(H103,{""charttype"",""bar"";""max"",100;""color1"",""gr"&amp;"een""})
)))"),"")</f>
        <v/>
      </c>
      <c r="J103" s="6"/>
      <c r="K103" s="6"/>
    </row>
    <row r="104">
      <c r="A104" s="6" t="str">
        <f t="shared" si="4"/>
        <v/>
      </c>
      <c r="B104" s="6"/>
      <c r="C104" s="6"/>
      <c r="D104" s="19"/>
      <c r="E104" s="6"/>
      <c r="F104" s="6"/>
      <c r="G104" s="6"/>
      <c r="H104" s="11">
        <f t="shared" si="3"/>
        <v>0</v>
      </c>
      <c r="I104" s="6" t="str">
        <f>IFERROR(__xludf.DUMMYFUNCTION("IF(H104="""","""",
IF(H104&lt;30,
SPARKLINE(H104,{""charttype"",""bar"";""max"",100;""color1"",""red""}),
IF(H104&lt;70,
SPARKLINE(H104,{""charttype"",""bar"";""max"",100;""color1"",""orange""}),
SPARKLINE(H104,{""charttype"",""bar"";""max"",100;""color1"",""gr"&amp;"een""})
)))"),"")</f>
        <v/>
      </c>
      <c r="J104" s="6"/>
      <c r="K104" s="6"/>
    </row>
    <row r="105">
      <c r="A105" s="6" t="str">
        <f t="shared" si="4"/>
        <v/>
      </c>
      <c r="B105" s="6"/>
      <c r="C105" s="6"/>
      <c r="D105" s="19"/>
      <c r="E105" s="6"/>
      <c r="F105" s="6"/>
      <c r="G105" s="6"/>
      <c r="H105" s="11">
        <f t="shared" si="3"/>
        <v>0</v>
      </c>
      <c r="I105" s="6" t="str">
        <f>IFERROR(__xludf.DUMMYFUNCTION("IF(H105="""","""",
IF(H105&lt;30,
SPARKLINE(H105,{""charttype"",""bar"";""max"",100;""color1"",""red""}),
IF(H105&lt;70,
SPARKLINE(H105,{""charttype"",""bar"";""max"",100;""color1"",""orange""}),
SPARKLINE(H105,{""charttype"",""bar"";""max"",100;""color1"",""gr"&amp;"een""})
)))"),"")</f>
        <v/>
      </c>
      <c r="J105" s="6"/>
      <c r="K105" s="6"/>
    </row>
    <row r="106">
      <c r="A106" s="6" t="str">
        <f t="shared" si="4"/>
        <v/>
      </c>
      <c r="B106" s="6"/>
      <c r="C106" s="6"/>
      <c r="D106" s="19"/>
      <c r="E106" s="6"/>
      <c r="F106" s="6"/>
      <c r="G106" s="6"/>
      <c r="H106" s="11">
        <f t="shared" si="3"/>
        <v>0</v>
      </c>
      <c r="I106" s="6" t="str">
        <f>IFERROR(__xludf.DUMMYFUNCTION("IF(H106="""","""",
IF(H106&lt;30,
SPARKLINE(H106,{""charttype"",""bar"";""max"",100;""color1"",""red""}),
IF(H106&lt;70,
SPARKLINE(H106,{""charttype"",""bar"";""max"",100;""color1"",""orange""}),
SPARKLINE(H106,{""charttype"",""bar"";""max"",100;""color1"",""gr"&amp;"een""})
)))"),"")</f>
        <v/>
      </c>
      <c r="J106" s="6"/>
      <c r="K106" s="6"/>
    </row>
    <row r="107">
      <c r="A107" s="6" t="str">
        <f t="shared" si="4"/>
        <v/>
      </c>
      <c r="B107" s="6"/>
      <c r="C107" s="6"/>
      <c r="D107" s="19"/>
      <c r="E107" s="6"/>
      <c r="F107" s="6"/>
      <c r="G107" s="6"/>
      <c r="H107" s="11">
        <f t="shared" si="3"/>
        <v>0</v>
      </c>
      <c r="I107" s="6" t="str">
        <f>IFERROR(__xludf.DUMMYFUNCTION("IF(H107="""","""",
IF(H107&lt;30,
SPARKLINE(H107,{""charttype"",""bar"";""max"",100;""color1"",""red""}),
IF(H107&lt;70,
SPARKLINE(H107,{""charttype"",""bar"";""max"",100;""color1"",""orange""}),
SPARKLINE(H107,{""charttype"",""bar"";""max"",100;""color1"",""gr"&amp;"een""})
)))"),"")</f>
        <v/>
      </c>
      <c r="J107" s="6"/>
      <c r="K107" s="6"/>
    </row>
    <row r="108">
      <c r="A108" s="6" t="str">
        <f t="shared" si="4"/>
        <v/>
      </c>
      <c r="B108" s="6"/>
      <c r="C108" s="6"/>
      <c r="D108" s="19"/>
      <c r="E108" s="6"/>
      <c r="F108" s="6"/>
      <c r="G108" s="6"/>
      <c r="H108" s="11">
        <f t="shared" si="3"/>
        <v>0</v>
      </c>
      <c r="I108" s="6" t="str">
        <f>IFERROR(__xludf.DUMMYFUNCTION("IF(H108="""","""",
IF(H108&lt;30,
SPARKLINE(H108,{""charttype"",""bar"";""max"",100;""color1"",""red""}),
IF(H108&lt;70,
SPARKLINE(H108,{""charttype"",""bar"";""max"",100;""color1"",""orange""}),
SPARKLINE(H108,{""charttype"",""bar"";""max"",100;""color1"",""gr"&amp;"een""})
)))"),"")</f>
        <v/>
      </c>
      <c r="J108" s="6"/>
      <c r="K108" s="6"/>
    </row>
    <row r="109">
      <c r="A109" s="6" t="str">
        <f t="shared" si="4"/>
        <v/>
      </c>
      <c r="B109" s="6"/>
      <c r="C109" s="6"/>
      <c r="D109" s="19"/>
      <c r="E109" s="6"/>
      <c r="F109" s="6"/>
      <c r="G109" s="6"/>
      <c r="H109" s="11">
        <f t="shared" si="3"/>
        <v>0</v>
      </c>
      <c r="I109" s="6" t="str">
        <f>IFERROR(__xludf.DUMMYFUNCTION("IF(H109="""","""",
IF(H109&lt;30,
SPARKLINE(H109,{""charttype"",""bar"";""max"",100;""color1"",""red""}),
IF(H109&lt;70,
SPARKLINE(H109,{""charttype"",""bar"";""max"",100;""color1"",""orange""}),
SPARKLINE(H109,{""charttype"",""bar"";""max"",100;""color1"",""gr"&amp;"een""})
)))"),"")</f>
        <v/>
      </c>
      <c r="J109" s="6"/>
      <c r="K109" s="6"/>
    </row>
    <row r="110">
      <c r="A110" s="6" t="str">
        <f t="shared" si="4"/>
        <v/>
      </c>
      <c r="B110" s="6"/>
      <c r="C110" s="6"/>
      <c r="D110" s="19"/>
      <c r="E110" s="6"/>
      <c r="F110" s="6"/>
      <c r="G110" s="6"/>
      <c r="H110" s="11">
        <f t="shared" si="3"/>
        <v>0</v>
      </c>
      <c r="I110" s="6" t="str">
        <f>IFERROR(__xludf.DUMMYFUNCTION("IF(H110="""","""",
IF(H110&lt;30,
SPARKLINE(H110,{""charttype"",""bar"";""max"",100;""color1"",""red""}),
IF(H110&lt;70,
SPARKLINE(H110,{""charttype"",""bar"";""max"",100;""color1"",""orange""}),
SPARKLINE(H110,{""charttype"",""bar"";""max"",100;""color1"",""gr"&amp;"een""})
)))"),"")</f>
        <v/>
      </c>
      <c r="J110" s="6"/>
      <c r="K110" s="6"/>
    </row>
    <row r="111">
      <c r="A111" s="6" t="str">
        <f t="shared" si="4"/>
        <v/>
      </c>
      <c r="B111" s="6"/>
      <c r="C111" s="6"/>
      <c r="D111" s="19"/>
      <c r="E111" s="6"/>
      <c r="F111" s="6"/>
      <c r="G111" s="6"/>
      <c r="H111" s="11">
        <f t="shared" si="3"/>
        <v>0</v>
      </c>
      <c r="I111" s="6" t="str">
        <f>IFERROR(__xludf.DUMMYFUNCTION("IF(H111="""","""",
IF(H111&lt;30,
SPARKLINE(H111,{""charttype"",""bar"";""max"",100;""color1"",""red""}),
IF(H111&lt;70,
SPARKLINE(H111,{""charttype"",""bar"";""max"",100;""color1"",""orange""}),
SPARKLINE(H111,{""charttype"",""bar"";""max"",100;""color1"",""gr"&amp;"een""})
)))"),"")</f>
        <v/>
      </c>
      <c r="J111" s="6"/>
      <c r="K111" s="6"/>
    </row>
    <row r="112">
      <c r="A112" s="6" t="str">
        <f t="shared" si="4"/>
        <v/>
      </c>
      <c r="B112" s="6"/>
      <c r="C112" s="6"/>
      <c r="D112" s="19"/>
      <c r="E112" s="6"/>
      <c r="F112" s="6"/>
      <c r="G112" s="6"/>
      <c r="H112" s="11">
        <f t="shared" si="3"/>
        <v>0</v>
      </c>
      <c r="I112" s="6" t="str">
        <f>IFERROR(__xludf.DUMMYFUNCTION("IF(H112="""","""",
IF(H112&lt;30,
SPARKLINE(H112,{""charttype"",""bar"";""max"",100;""color1"",""red""}),
IF(H112&lt;70,
SPARKLINE(H112,{""charttype"",""bar"";""max"",100;""color1"",""orange""}),
SPARKLINE(H112,{""charttype"",""bar"";""max"",100;""color1"",""gr"&amp;"een""})
)))"),"")</f>
        <v/>
      </c>
      <c r="J112" s="6"/>
      <c r="K112" s="6"/>
    </row>
    <row r="113">
      <c r="A113" s="6" t="str">
        <f t="shared" si="4"/>
        <v/>
      </c>
      <c r="B113" s="6"/>
      <c r="C113" s="6"/>
      <c r="D113" s="19"/>
      <c r="E113" s="6"/>
      <c r="F113" s="6"/>
      <c r="G113" s="6"/>
      <c r="H113" s="11">
        <f t="shared" si="3"/>
        <v>0</v>
      </c>
      <c r="I113" s="6" t="str">
        <f>IFERROR(__xludf.DUMMYFUNCTION("IF(H113="""","""",
IF(H113&lt;30,
SPARKLINE(H113,{""charttype"",""bar"";""max"",100;""color1"",""red""}),
IF(H113&lt;70,
SPARKLINE(H113,{""charttype"",""bar"";""max"",100;""color1"",""orange""}),
SPARKLINE(H113,{""charttype"",""bar"";""max"",100;""color1"",""gr"&amp;"een""})
)))"),"")</f>
        <v/>
      </c>
      <c r="J113" s="6"/>
      <c r="K113" s="6"/>
    </row>
    <row r="114">
      <c r="A114" s="6" t="str">
        <f t="shared" si="4"/>
        <v/>
      </c>
      <c r="B114" s="6"/>
      <c r="C114" s="6"/>
      <c r="D114" s="19"/>
      <c r="E114" s="6"/>
      <c r="F114" s="6"/>
      <c r="G114" s="6"/>
      <c r="H114" s="11">
        <f t="shared" si="3"/>
        <v>0</v>
      </c>
      <c r="I114" s="6" t="str">
        <f>IFERROR(__xludf.DUMMYFUNCTION("IF(H114="""","""",
IF(H114&lt;30,
SPARKLINE(H114,{""charttype"",""bar"";""max"",100;""color1"",""red""}),
IF(H114&lt;70,
SPARKLINE(H114,{""charttype"",""bar"";""max"",100;""color1"",""orange""}),
SPARKLINE(H114,{""charttype"",""bar"";""max"",100;""color1"",""gr"&amp;"een""})
)))"),"")</f>
        <v/>
      </c>
      <c r="J114" s="6"/>
      <c r="K114" s="6"/>
    </row>
    <row r="115">
      <c r="A115" s="6" t="str">
        <f t="shared" si="4"/>
        <v/>
      </c>
      <c r="B115" s="6"/>
      <c r="C115" s="6"/>
      <c r="D115" s="19"/>
      <c r="E115" s="6"/>
      <c r="F115" s="6"/>
      <c r="G115" s="6"/>
      <c r="H115" s="11">
        <f t="shared" si="3"/>
        <v>0</v>
      </c>
      <c r="I115" s="6" t="str">
        <f>IFERROR(__xludf.DUMMYFUNCTION("IF(H115="""","""",
IF(H115&lt;30,
SPARKLINE(H115,{""charttype"",""bar"";""max"",100;""color1"",""red""}),
IF(H115&lt;70,
SPARKLINE(H115,{""charttype"",""bar"";""max"",100;""color1"",""orange""}),
SPARKLINE(H115,{""charttype"",""bar"";""max"",100;""color1"",""gr"&amp;"een""})
)))"),"")</f>
        <v/>
      </c>
      <c r="J115" s="6"/>
      <c r="K115" s="6"/>
    </row>
    <row r="116">
      <c r="A116" s="6" t="str">
        <f t="shared" si="4"/>
        <v/>
      </c>
      <c r="B116" s="6"/>
      <c r="C116" s="6"/>
      <c r="D116" s="19"/>
      <c r="E116" s="6"/>
      <c r="F116" s="6"/>
      <c r="G116" s="6"/>
      <c r="H116" s="11">
        <f t="shared" si="3"/>
        <v>0</v>
      </c>
      <c r="I116" s="6" t="str">
        <f>IFERROR(__xludf.DUMMYFUNCTION("IF(H116="""","""",
IF(H116&lt;30,
SPARKLINE(H116,{""charttype"",""bar"";""max"",100;""color1"",""red""}),
IF(H116&lt;70,
SPARKLINE(H116,{""charttype"",""bar"";""max"",100;""color1"",""orange""}),
SPARKLINE(H116,{""charttype"",""bar"";""max"",100;""color1"",""gr"&amp;"een""})
)))"),"")</f>
        <v/>
      </c>
      <c r="J116" s="6"/>
      <c r="K116" s="6"/>
    </row>
    <row r="117">
      <c r="A117" s="6" t="str">
        <f t="shared" si="4"/>
        <v/>
      </c>
      <c r="B117" s="6"/>
      <c r="C117" s="6"/>
      <c r="D117" s="19"/>
      <c r="E117" s="6"/>
      <c r="F117" s="6"/>
      <c r="G117" s="6"/>
      <c r="H117" s="11">
        <f t="shared" si="3"/>
        <v>0</v>
      </c>
      <c r="I117" s="6" t="str">
        <f>IFERROR(__xludf.DUMMYFUNCTION("IF(H117="""","""",
IF(H117&lt;30,
SPARKLINE(H117,{""charttype"",""bar"";""max"",100;""color1"",""red""}),
IF(H117&lt;70,
SPARKLINE(H117,{""charttype"",""bar"";""max"",100;""color1"",""orange""}),
SPARKLINE(H117,{""charttype"",""bar"";""max"",100;""color1"",""gr"&amp;"een""})
)))"),"")</f>
        <v/>
      </c>
      <c r="J117" s="6"/>
      <c r="K117" s="6"/>
    </row>
    <row r="118">
      <c r="A118" s="6" t="str">
        <f t="shared" si="4"/>
        <v/>
      </c>
      <c r="B118" s="6"/>
      <c r="C118" s="6"/>
      <c r="D118" s="19"/>
      <c r="E118" s="6"/>
      <c r="F118" s="6"/>
      <c r="G118" s="6"/>
      <c r="H118" s="11">
        <f t="shared" si="3"/>
        <v>0</v>
      </c>
      <c r="I118" s="6" t="str">
        <f>IFERROR(__xludf.DUMMYFUNCTION("IF(H118="""","""",
IF(H118&lt;30,
SPARKLINE(H118,{""charttype"",""bar"";""max"",100;""color1"",""red""}),
IF(H118&lt;70,
SPARKLINE(H118,{""charttype"",""bar"";""max"",100;""color1"",""orange""}),
SPARKLINE(H118,{""charttype"",""bar"";""max"",100;""color1"",""gr"&amp;"een""})
)))"),"")</f>
        <v/>
      </c>
      <c r="J118" s="6"/>
      <c r="K118" s="6"/>
    </row>
    <row r="119">
      <c r="A119" s="6" t="str">
        <f t="shared" si="4"/>
        <v/>
      </c>
      <c r="B119" s="6"/>
      <c r="C119" s="6"/>
      <c r="D119" s="19"/>
      <c r="E119" s="6"/>
      <c r="F119" s="6"/>
      <c r="G119" s="6"/>
      <c r="H119" s="11">
        <f t="shared" si="3"/>
        <v>0</v>
      </c>
      <c r="I119" s="6" t="str">
        <f>IFERROR(__xludf.DUMMYFUNCTION("IF(H119="""","""",
IF(H119&lt;30,
SPARKLINE(H119,{""charttype"",""bar"";""max"",100;""color1"",""red""}),
IF(H119&lt;70,
SPARKLINE(H119,{""charttype"",""bar"";""max"",100;""color1"",""orange""}),
SPARKLINE(H119,{""charttype"",""bar"";""max"",100;""color1"",""gr"&amp;"een""})
)))"),"")</f>
        <v/>
      </c>
      <c r="J119" s="6"/>
      <c r="K119" s="6"/>
    </row>
    <row r="120">
      <c r="A120" s="6" t="str">
        <f t="shared" si="4"/>
        <v/>
      </c>
      <c r="B120" s="6"/>
      <c r="C120" s="6"/>
      <c r="D120" s="19"/>
      <c r="E120" s="6"/>
      <c r="F120" s="6"/>
      <c r="G120" s="6"/>
      <c r="H120" s="11">
        <f t="shared" si="3"/>
        <v>0</v>
      </c>
      <c r="I120" s="6" t="str">
        <f>IFERROR(__xludf.DUMMYFUNCTION("IF(H120="""","""",
IF(H120&lt;30,
SPARKLINE(H120,{""charttype"",""bar"";""max"",100;""color1"",""red""}),
IF(H120&lt;70,
SPARKLINE(H120,{""charttype"",""bar"";""max"",100;""color1"",""orange""}),
SPARKLINE(H120,{""charttype"",""bar"";""max"",100;""color1"",""gr"&amp;"een""})
)))"),"")</f>
        <v/>
      </c>
      <c r="J120" s="6"/>
      <c r="K120" s="6"/>
    </row>
    <row r="121">
      <c r="A121" s="6" t="str">
        <f t="shared" si="4"/>
        <v/>
      </c>
      <c r="B121" s="6"/>
      <c r="C121" s="6"/>
      <c r="D121" s="19"/>
      <c r="E121" s="6"/>
      <c r="F121" s="6"/>
      <c r="G121" s="6"/>
      <c r="H121" s="11">
        <f t="shared" si="3"/>
        <v>0</v>
      </c>
      <c r="I121" s="6" t="str">
        <f>IFERROR(__xludf.DUMMYFUNCTION("IF(H121="""","""",
IF(H121&lt;30,
SPARKLINE(H121,{""charttype"",""bar"";""max"",100;""color1"",""red""}),
IF(H121&lt;70,
SPARKLINE(H121,{""charttype"",""bar"";""max"",100;""color1"",""orange""}),
SPARKLINE(H121,{""charttype"",""bar"";""max"",100;""color1"",""gr"&amp;"een""})
)))"),"")</f>
        <v/>
      </c>
      <c r="J121" s="6"/>
      <c r="K121" s="6"/>
    </row>
    <row r="122">
      <c r="A122" s="6" t="str">
        <f t="shared" si="4"/>
        <v/>
      </c>
      <c r="B122" s="6"/>
      <c r="C122" s="6"/>
      <c r="D122" s="19"/>
      <c r="E122" s="6"/>
      <c r="F122" s="6"/>
      <c r="G122" s="6"/>
      <c r="H122" s="11">
        <f t="shared" si="3"/>
        <v>0</v>
      </c>
      <c r="I122" s="6" t="str">
        <f>IFERROR(__xludf.DUMMYFUNCTION("IF(H122="""","""",
IF(H122&lt;30,
SPARKLINE(H122,{""charttype"",""bar"";""max"",100;""color1"",""red""}),
IF(H122&lt;70,
SPARKLINE(H122,{""charttype"",""bar"";""max"",100;""color1"",""orange""}),
SPARKLINE(H122,{""charttype"",""bar"";""max"",100;""color1"",""gr"&amp;"een""})
)))"),"")</f>
        <v/>
      </c>
      <c r="J122" s="6"/>
      <c r="K122" s="6"/>
    </row>
    <row r="123">
      <c r="A123" s="6" t="str">
        <f t="shared" si="4"/>
        <v/>
      </c>
      <c r="B123" s="6"/>
      <c r="C123" s="6"/>
      <c r="D123" s="19"/>
      <c r="E123" s="6"/>
      <c r="F123" s="6"/>
      <c r="G123" s="6"/>
      <c r="H123" s="11">
        <f t="shared" si="3"/>
        <v>0</v>
      </c>
      <c r="I123" s="6" t="str">
        <f>IFERROR(__xludf.DUMMYFUNCTION("IF(H123="""","""",
IF(H123&lt;30,
SPARKLINE(H123,{""charttype"",""bar"";""max"",100;""color1"",""red""}),
IF(H123&lt;70,
SPARKLINE(H123,{""charttype"",""bar"";""max"",100;""color1"",""orange""}),
SPARKLINE(H123,{""charttype"",""bar"";""max"",100;""color1"",""gr"&amp;"een""})
)))"),"")</f>
        <v/>
      </c>
      <c r="J123" s="6"/>
      <c r="K123" s="6"/>
    </row>
    <row r="124">
      <c r="A124" s="6" t="str">
        <f t="shared" si="4"/>
        <v/>
      </c>
      <c r="B124" s="6"/>
      <c r="C124" s="6"/>
      <c r="D124" s="19"/>
      <c r="E124" s="6"/>
      <c r="F124" s="6"/>
      <c r="G124" s="6"/>
      <c r="H124" s="11">
        <f t="shared" si="3"/>
        <v>0</v>
      </c>
      <c r="I124" s="6" t="str">
        <f>IFERROR(__xludf.DUMMYFUNCTION("IF(H124="""","""",
IF(H124&lt;30,
SPARKLINE(H124,{""charttype"",""bar"";""max"",100;""color1"",""red""}),
IF(H124&lt;70,
SPARKLINE(H124,{""charttype"",""bar"";""max"",100;""color1"",""orange""}),
SPARKLINE(H124,{""charttype"",""bar"";""max"",100;""color1"",""gr"&amp;"een""})
)))"),"")</f>
        <v/>
      </c>
      <c r="J124" s="6"/>
      <c r="K124" s="6"/>
    </row>
    <row r="125">
      <c r="A125" s="6" t="str">
        <f t="shared" si="4"/>
        <v/>
      </c>
      <c r="B125" s="6"/>
      <c r="C125" s="6"/>
      <c r="D125" s="19"/>
      <c r="E125" s="6"/>
      <c r="F125" s="6"/>
      <c r="G125" s="6"/>
      <c r="H125" s="11">
        <f t="shared" si="3"/>
        <v>0</v>
      </c>
      <c r="I125" s="6" t="str">
        <f>IFERROR(__xludf.DUMMYFUNCTION("IF(H125="""","""",
IF(H125&lt;30,
SPARKLINE(H125,{""charttype"",""bar"";""max"",100;""color1"",""red""}),
IF(H125&lt;70,
SPARKLINE(H125,{""charttype"",""bar"";""max"",100;""color1"",""orange""}),
SPARKLINE(H125,{""charttype"",""bar"";""max"",100;""color1"",""gr"&amp;"een""})
)))"),"")</f>
        <v/>
      </c>
      <c r="J125" s="6"/>
      <c r="K125" s="6"/>
    </row>
    <row r="126">
      <c r="A126" s="6" t="str">
        <f t="shared" si="4"/>
        <v/>
      </c>
      <c r="B126" s="6"/>
      <c r="C126" s="6"/>
      <c r="D126" s="19"/>
      <c r="E126" s="6"/>
      <c r="F126" s="6"/>
      <c r="G126" s="6"/>
      <c r="H126" s="11">
        <f t="shared" si="3"/>
        <v>0</v>
      </c>
      <c r="I126" s="6" t="str">
        <f>IFERROR(__xludf.DUMMYFUNCTION("IF(H126="""","""",
IF(H126&lt;30,
SPARKLINE(H126,{""charttype"",""bar"";""max"",100;""color1"",""red""}),
IF(H126&lt;70,
SPARKLINE(H126,{""charttype"",""bar"";""max"",100;""color1"",""orange""}),
SPARKLINE(H126,{""charttype"",""bar"";""max"",100;""color1"",""gr"&amp;"een""})
)))"),"")</f>
        <v/>
      </c>
      <c r="J126" s="6"/>
      <c r="K126" s="6"/>
    </row>
    <row r="127">
      <c r="A127" s="6" t="str">
        <f t="shared" si="4"/>
        <v/>
      </c>
      <c r="B127" s="6"/>
      <c r="C127" s="6"/>
      <c r="D127" s="19"/>
      <c r="E127" s="6"/>
      <c r="F127" s="6"/>
      <c r="G127" s="6"/>
      <c r="H127" s="11">
        <f t="shared" si="3"/>
        <v>0</v>
      </c>
      <c r="I127" s="6" t="str">
        <f>IFERROR(__xludf.DUMMYFUNCTION("IF(H127="""","""",
IF(H127&lt;30,
SPARKLINE(H127,{""charttype"",""bar"";""max"",100;""color1"",""red""}),
IF(H127&lt;70,
SPARKLINE(H127,{""charttype"",""bar"";""max"",100;""color1"",""orange""}),
SPARKLINE(H127,{""charttype"",""bar"";""max"",100;""color1"",""gr"&amp;"een""})
)))"),"")</f>
        <v/>
      </c>
      <c r="J127" s="6"/>
      <c r="K127" s="6"/>
    </row>
    <row r="128">
      <c r="A128" s="6" t="str">
        <f t="shared" si="4"/>
        <v/>
      </c>
      <c r="B128" s="6"/>
      <c r="C128" s="6"/>
      <c r="D128" s="19"/>
      <c r="E128" s="6"/>
      <c r="F128" s="6"/>
      <c r="G128" s="6"/>
      <c r="H128" s="11">
        <f t="shared" si="3"/>
        <v>0</v>
      </c>
      <c r="I128" s="6" t="str">
        <f>IFERROR(__xludf.DUMMYFUNCTION("IF(H128="""","""",
IF(H128&lt;30,
SPARKLINE(H128,{""charttype"",""bar"";""max"",100;""color1"",""red""}),
IF(H128&lt;70,
SPARKLINE(H128,{""charttype"",""bar"";""max"",100;""color1"",""orange""}),
SPARKLINE(H128,{""charttype"",""bar"";""max"",100;""color1"",""gr"&amp;"een""})
)))"),"")</f>
        <v/>
      </c>
      <c r="J128" s="6"/>
      <c r="K128" s="6"/>
    </row>
    <row r="129">
      <c r="A129" s="6" t="str">
        <f t="shared" si="4"/>
        <v/>
      </c>
      <c r="B129" s="6"/>
      <c r="C129" s="6"/>
      <c r="D129" s="19"/>
      <c r="E129" s="6"/>
      <c r="F129" s="6"/>
      <c r="G129" s="6"/>
      <c r="H129" s="11">
        <f t="shared" si="3"/>
        <v>0</v>
      </c>
      <c r="I129" s="6" t="str">
        <f>IFERROR(__xludf.DUMMYFUNCTION("IF(H129="""","""",
IF(H129&lt;30,
SPARKLINE(H129,{""charttype"",""bar"";""max"",100;""color1"",""red""}),
IF(H129&lt;70,
SPARKLINE(H129,{""charttype"",""bar"";""max"",100;""color1"",""orange""}),
SPARKLINE(H129,{""charttype"",""bar"";""max"",100;""color1"",""gr"&amp;"een""})
)))"),"")</f>
        <v/>
      </c>
      <c r="J129" s="6"/>
      <c r="K129" s="6"/>
    </row>
    <row r="130">
      <c r="A130" s="6" t="str">
        <f t="shared" si="4"/>
        <v/>
      </c>
      <c r="B130" s="6"/>
      <c r="C130" s="6"/>
      <c r="D130" s="19"/>
      <c r="E130" s="6"/>
      <c r="F130" s="6"/>
      <c r="G130" s="6"/>
      <c r="H130" s="11">
        <f t="shared" si="3"/>
        <v>0</v>
      </c>
      <c r="I130" s="6" t="str">
        <f>IFERROR(__xludf.DUMMYFUNCTION("IF(H130="""","""",
IF(H130&lt;30,
SPARKLINE(H130,{""charttype"",""bar"";""max"",100;""color1"",""red""}),
IF(H130&lt;70,
SPARKLINE(H130,{""charttype"",""bar"";""max"",100;""color1"",""orange""}),
SPARKLINE(H130,{""charttype"",""bar"";""max"",100;""color1"",""gr"&amp;"een""})
)))"),"")</f>
        <v/>
      </c>
      <c r="J130" s="6"/>
      <c r="K130" s="6"/>
    </row>
    <row r="131">
      <c r="A131" s="6" t="str">
        <f t="shared" si="4"/>
        <v/>
      </c>
      <c r="B131" s="6"/>
      <c r="C131" s="6"/>
      <c r="D131" s="19"/>
      <c r="E131" s="6"/>
      <c r="F131" s="6"/>
      <c r="G131" s="6"/>
      <c r="H131" s="11">
        <f t="shared" si="3"/>
        <v>0</v>
      </c>
      <c r="I131" s="6" t="str">
        <f>IFERROR(__xludf.DUMMYFUNCTION("IF(H131="""","""",
IF(H131&lt;30,
SPARKLINE(H131,{""charttype"",""bar"";""max"",100;""color1"",""red""}),
IF(H131&lt;70,
SPARKLINE(H131,{""charttype"",""bar"";""max"",100;""color1"",""orange""}),
SPARKLINE(H131,{""charttype"",""bar"";""max"",100;""color1"",""gr"&amp;"een""})
)))"),"")</f>
        <v/>
      </c>
      <c r="J131" s="6"/>
      <c r="K131" s="6"/>
    </row>
    <row r="132">
      <c r="A132" s="6" t="str">
        <f t="shared" si="4"/>
        <v/>
      </c>
      <c r="B132" s="6"/>
      <c r="C132" s="6"/>
      <c r="D132" s="19"/>
      <c r="E132" s="6"/>
      <c r="F132" s="6"/>
      <c r="G132" s="6"/>
      <c r="H132" s="11">
        <f t="shared" si="3"/>
        <v>0</v>
      </c>
      <c r="I132" s="6" t="str">
        <f>IFERROR(__xludf.DUMMYFUNCTION("IF(H132="""","""",
IF(H132&lt;30,
SPARKLINE(H132,{""charttype"",""bar"";""max"",100;""color1"",""red""}),
IF(H132&lt;70,
SPARKLINE(H132,{""charttype"",""bar"";""max"",100;""color1"",""orange""}),
SPARKLINE(H132,{""charttype"",""bar"";""max"",100;""color1"",""gr"&amp;"een""})
)))"),"")</f>
        <v/>
      </c>
      <c r="J132" s="6"/>
      <c r="K132" s="6"/>
    </row>
    <row r="133">
      <c r="A133" s="6" t="str">
        <f t="shared" si="4"/>
        <v/>
      </c>
      <c r="B133" s="6"/>
      <c r="C133" s="6"/>
      <c r="D133" s="19"/>
      <c r="E133" s="6"/>
      <c r="F133" s="6"/>
      <c r="G133" s="6"/>
      <c r="H133" s="11">
        <f t="shared" si="3"/>
        <v>0</v>
      </c>
      <c r="I133" s="6" t="str">
        <f>IFERROR(__xludf.DUMMYFUNCTION("IF(H133="""","""",
IF(H133&lt;30,
SPARKLINE(H133,{""charttype"",""bar"";""max"",100;""color1"",""red""}),
IF(H133&lt;70,
SPARKLINE(H133,{""charttype"",""bar"";""max"",100;""color1"",""orange""}),
SPARKLINE(H133,{""charttype"",""bar"";""max"",100;""color1"",""gr"&amp;"een""})
)))"),"")</f>
        <v/>
      </c>
      <c r="J133" s="6"/>
      <c r="K133" s="6"/>
    </row>
    <row r="134">
      <c r="A134" s="6" t="str">
        <f t="shared" si="4"/>
        <v/>
      </c>
      <c r="B134" s="6"/>
      <c r="C134" s="6"/>
      <c r="D134" s="19"/>
      <c r="E134" s="6"/>
      <c r="F134" s="6"/>
      <c r="G134" s="6"/>
      <c r="H134" s="11">
        <f t="shared" si="3"/>
        <v>0</v>
      </c>
      <c r="I134" s="6" t="str">
        <f>IFERROR(__xludf.DUMMYFUNCTION("IF(H134="""","""",
IF(H134&lt;30,
SPARKLINE(H134,{""charttype"",""bar"";""max"",100;""color1"",""red""}),
IF(H134&lt;70,
SPARKLINE(H134,{""charttype"",""bar"";""max"",100;""color1"",""orange""}),
SPARKLINE(H134,{""charttype"",""bar"";""max"",100;""color1"",""gr"&amp;"een""})
)))"),"")</f>
        <v/>
      </c>
      <c r="J134" s="6"/>
      <c r="K134" s="6"/>
    </row>
    <row r="135">
      <c r="A135" s="6" t="str">
        <f t="shared" si="4"/>
        <v/>
      </c>
      <c r="B135" s="6"/>
      <c r="C135" s="6"/>
      <c r="D135" s="19"/>
      <c r="E135" s="6"/>
      <c r="F135" s="6"/>
      <c r="G135" s="6"/>
      <c r="H135" s="11">
        <f t="shared" si="3"/>
        <v>0</v>
      </c>
      <c r="I135" s="6" t="str">
        <f>IFERROR(__xludf.DUMMYFUNCTION("IF(H135="""","""",
IF(H135&lt;30,
SPARKLINE(H135,{""charttype"",""bar"";""max"",100;""color1"",""red""}),
IF(H135&lt;70,
SPARKLINE(H135,{""charttype"",""bar"";""max"",100;""color1"",""orange""}),
SPARKLINE(H135,{""charttype"",""bar"";""max"",100;""color1"",""gr"&amp;"een""})
)))"),"")</f>
        <v/>
      </c>
      <c r="J135" s="6"/>
      <c r="K135" s="6"/>
    </row>
    <row r="136">
      <c r="A136" s="6" t="str">
        <f t="shared" si="4"/>
        <v/>
      </c>
      <c r="B136" s="6"/>
      <c r="C136" s="6"/>
      <c r="D136" s="19"/>
      <c r="E136" s="6"/>
      <c r="F136" s="6"/>
      <c r="G136" s="6"/>
      <c r="H136" s="11">
        <f t="shared" si="3"/>
        <v>0</v>
      </c>
      <c r="I136" s="6" t="str">
        <f>IFERROR(__xludf.DUMMYFUNCTION("IF(H136="""","""",
IF(H136&lt;30,
SPARKLINE(H136,{""charttype"",""bar"";""max"",100;""color1"",""red""}),
IF(H136&lt;70,
SPARKLINE(H136,{""charttype"",""bar"";""max"",100;""color1"",""orange""}),
SPARKLINE(H136,{""charttype"",""bar"";""max"",100;""color1"",""gr"&amp;"een""})
)))"),"")</f>
        <v/>
      </c>
      <c r="J136" s="6"/>
      <c r="K136" s="6"/>
    </row>
    <row r="137">
      <c r="A137" s="6" t="str">
        <f t="shared" si="4"/>
        <v/>
      </c>
      <c r="B137" s="6"/>
      <c r="C137" s="6"/>
      <c r="D137" s="19"/>
      <c r="E137" s="6"/>
      <c r="F137" s="6"/>
      <c r="G137" s="6"/>
      <c r="H137" s="11">
        <f t="shared" si="3"/>
        <v>0</v>
      </c>
      <c r="I137" s="6" t="str">
        <f>IFERROR(__xludf.DUMMYFUNCTION("IF(H137="""","""",
IF(H137&lt;30,
SPARKLINE(H137,{""charttype"",""bar"";""max"",100;""color1"",""red""}),
IF(H137&lt;70,
SPARKLINE(H137,{""charttype"",""bar"";""max"",100;""color1"",""orange""}),
SPARKLINE(H137,{""charttype"",""bar"";""max"",100;""color1"",""gr"&amp;"een""})
)))"),"")</f>
        <v/>
      </c>
      <c r="J137" s="6"/>
      <c r="K137" s="6"/>
    </row>
    <row r="138">
      <c r="A138" s="6" t="str">
        <f t="shared" si="4"/>
        <v/>
      </c>
      <c r="B138" s="6"/>
      <c r="C138" s="6"/>
      <c r="D138" s="19"/>
      <c r="E138" s="6"/>
      <c r="F138" s="6"/>
      <c r="G138" s="6"/>
      <c r="H138" s="11">
        <f t="shared" si="3"/>
        <v>0</v>
      </c>
      <c r="I138" s="6" t="str">
        <f>IFERROR(__xludf.DUMMYFUNCTION("IF(H138="""","""",
IF(H138&lt;30,
SPARKLINE(H138,{""charttype"",""bar"";""max"",100;""color1"",""red""}),
IF(H138&lt;70,
SPARKLINE(H138,{""charttype"",""bar"";""max"",100;""color1"",""orange""}),
SPARKLINE(H138,{""charttype"",""bar"";""max"",100;""color1"",""gr"&amp;"een""})
)))"),"")</f>
        <v/>
      </c>
      <c r="J138" s="6"/>
      <c r="K138" s="6"/>
    </row>
    <row r="139">
      <c r="A139" s="6" t="str">
        <f t="shared" si="4"/>
        <v/>
      </c>
      <c r="B139" s="6"/>
      <c r="C139" s="6"/>
      <c r="D139" s="19"/>
      <c r="E139" s="6"/>
      <c r="F139" s="6"/>
      <c r="G139" s="6"/>
      <c r="H139" s="11">
        <f t="shared" si="3"/>
        <v>0</v>
      </c>
      <c r="I139" s="6" t="str">
        <f>IFERROR(__xludf.DUMMYFUNCTION("IF(H139="""","""",
IF(H139&lt;30,
SPARKLINE(H139,{""charttype"",""bar"";""max"",100;""color1"",""red""}),
IF(H139&lt;70,
SPARKLINE(H139,{""charttype"",""bar"";""max"",100;""color1"",""orange""}),
SPARKLINE(H139,{""charttype"",""bar"";""max"",100;""color1"",""gr"&amp;"een""})
)))"),"")</f>
        <v/>
      </c>
      <c r="J139" s="6"/>
      <c r="K139" s="6"/>
    </row>
    <row r="140">
      <c r="A140" s="6" t="str">
        <f t="shared" si="4"/>
        <v/>
      </c>
      <c r="B140" s="6"/>
      <c r="C140" s="6"/>
      <c r="D140" s="19"/>
      <c r="E140" s="6"/>
      <c r="F140" s="6"/>
      <c r="G140" s="6"/>
      <c r="H140" s="11">
        <f t="shared" si="3"/>
        <v>0</v>
      </c>
      <c r="I140" s="6" t="str">
        <f>IFERROR(__xludf.DUMMYFUNCTION("IF(H140="""","""",
IF(H140&lt;30,
SPARKLINE(H140,{""charttype"",""bar"";""max"",100;""color1"",""red""}),
IF(H140&lt;70,
SPARKLINE(H140,{""charttype"",""bar"";""max"",100;""color1"",""orange""}),
SPARKLINE(H140,{""charttype"",""bar"";""max"",100;""color1"",""gr"&amp;"een""})
)))"),"")</f>
        <v/>
      </c>
      <c r="J140" s="6"/>
      <c r="K140" s="6"/>
    </row>
    <row r="141">
      <c r="A141" s="6" t="str">
        <f t="shared" si="4"/>
        <v/>
      </c>
      <c r="B141" s="6"/>
      <c r="C141" s="6"/>
      <c r="D141" s="19"/>
      <c r="E141" s="6"/>
      <c r="F141" s="6"/>
      <c r="G141" s="6"/>
      <c r="H141" s="11">
        <f t="shared" si="3"/>
        <v>0</v>
      </c>
      <c r="I141" s="6" t="str">
        <f>IFERROR(__xludf.DUMMYFUNCTION("IF(H141="""","""",
IF(H141&lt;30,
SPARKLINE(H141,{""charttype"",""bar"";""max"",100;""color1"",""red""}),
IF(H141&lt;70,
SPARKLINE(H141,{""charttype"",""bar"";""max"",100;""color1"",""orange""}),
SPARKLINE(H141,{""charttype"",""bar"";""max"",100;""color1"",""gr"&amp;"een""})
)))"),"")</f>
        <v/>
      </c>
      <c r="J141" s="6"/>
      <c r="K141" s="6"/>
    </row>
    <row r="142">
      <c r="A142" s="6" t="str">
        <f t="shared" si="4"/>
        <v/>
      </c>
      <c r="B142" s="6"/>
      <c r="C142" s="6"/>
      <c r="D142" s="19"/>
      <c r="E142" s="6"/>
      <c r="F142" s="6"/>
      <c r="G142" s="6"/>
      <c r="H142" s="11">
        <f t="shared" si="3"/>
        <v>0</v>
      </c>
      <c r="I142" s="6" t="str">
        <f>IFERROR(__xludf.DUMMYFUNCTION("IF(H142="""","""",
IF(H142&lt;30,
SPARKLINE(H142,{""charttype"",""bar"";""max"",100;""color1"",""red""}),
IF(H142&lt;70,
SPARKLINE(H142,{""charttype"",""bar"";""max"",100;""color1"",""orange""}),
SPARKLINE(H142,{""charttype"",""bar"";""max"",100;""color1"",""gr"&amp;"een""})
)))"),"")</f>
        <v/>
      </c>
      <c r="J142" s="6"/>
      <c r="K142" s="6"/>
    </row>
    <row r="143">
      <c r="A143" s="6" t="str">
        <f t="shared" si="4"/>
        <v/>
      </c>
      <c r="B143" s="6"/>
      <c r="C143" s="6"/>
      <c r="D143" s="19"/>
      <c r="E143" s="6"/>
      <c r="F143" s="6"/>
      <c r="G143" s="6"/>
      <c r="H143" s="11">
        <f t="shared" si="3"/>
        <v>0</v>
      </c>
      <c r="I143" s="6" t="str">
        <f>IFERROR(__xludf.DUMMYFUNCTION("IF(H143="""","""",
IF(H143&lt;30,
SPARKLINE(H143,{""charttype"",""bar"";""max"",100;""color1"",""red""}),
IF(H143&lt;70,
SPARKLINE(H143,{""charttype"",""bar"";""max"",100;""color1"",""orange""}),
SPARKLINE(H143,{""charttype"",""bar"";""max"",100;""color1"",""gr"&amp;"een""})
)))"),"")</f>
        <v/>
      </c>
      <c r="J143" s="6"/>
      <c r="K143" s="6"/>
    </row>
    <row r="144">
      <c r="A144" s="6" t="str">
        <f t="shared" si="4"/>
        <v/>
      </c>
      <c r="B144" s="6"/>
      <c r="C144" s="6"/>
      <c r="D144" s="19"/>
      <c r="E144" s="6"/>
      <c r="F144" s="6"/>
      <c r="G144" s="6"/>
      <c r="H144" s="11">
        <f t="shared" si="3"/>
        <v>0</v>
      </c>
      <c r="I144" s="6" t="str">
        <f>IFERROR(__xludf.DUMMYFUNCTION("IF(H144="""","""",
IF(H144&lt;30,
SPARKLINE(H144,{""charttype"",""bar"";""max"",100;""color1"",""red""}),
IF(H144&lt;70,
SPARKLINE(H144,{""charttype"",""bar"";""max"",100;""color1"",""orange""}),
SPARKLINE(H144,{""charttype"",""bar"";""max"",100;""color1"",""gr"&amp;"een""})
)))"),"")</f>
        <v/>
      </c>
      <c r="J144" s="6"/>
      <c r="K144" s="6"/>
    </row>
    <row r="145">
      <c r="A145" s="6" t="str">
        <f t="shared" si="4"/>
        <v/>
      </c>
      <c r="B145" s="6"/>
      <c r="C145" s="6"/>
      <c r="D145" s="19"/>
      <c r="E145" s="6"/>
      <c r="F145" s="6"/>
      <c r="G145" s="6"/>
      <c r="H145" s="11">
        <f t="shared" si="3"/>
        <v>0</v>
      </c>
      <c r="I145" s="6" t="str">
        <f>IFERROR(__xludf.DUMMYFUNCTION("IF(H145="""","""",
IF(H145&lt;30,
SPARKLINE(H145,{""charttype"",""bar"";""max"",100;""color1"",""red""}),
IF(H145&lt;70,
SPARKLINE(H145,{""charttype"",""bar"";""max"",100;""color1"",""orange""}),
SPARKLINE(H145,{""charttype"",""bar"";""max"",100;""color1"",""gr"&amp;"een""})
)))"),"")</f>
        <v/>
      </c>
      <c r="J145" s="6"/>
      <c r="K145" s="6"/>
    </row>
    <row r="146">
      <c r="A146" s="6" t="str">
        <f t="shared" si="4"/>
        <v/>
      </c>
      <c r="B146" s="6"/>
      <c r="C146" s="6"/>
      <c r="D146" s="19"/>
      <c r="E146" s="6"/>
      <c r="F146" s="6"/>
      <c r="G146" s="6"/>
      <c r="H146" s="11">
        <f t="shared" si="3"/>
        <v>0</v>
      </c>
      <c r="I146" s="6" t="str">
        <f>IFERROR(__xludf.DUMMYFUNCTION("IF(H146="""","""",
IF(H146&lt;30,
SPARKLINE(H146,{""charttype"",""bar"";""max"",100;""color1"",""red""}),
IF(H146&lt;70,
SPARKLINE(H146,{""charttype"",""bar"";""max"",100;""color1"",""orange""}),
SPARKLINE(H146,{""charttype"",""bar"";""max"",100;""color1"",""gr"&amp;"een""})
)))"),"")</f>
        <v/>
      </c>
      <c r="J146" s="6"/>
      <c r="K146" s="6"/>
    </row>
    <row r="147">
      <c r="A147" s="6" t="str">
        <f t="shared" si="4"/>
        <v/>
      </c>
      <c r="B147" s="6"/>
      <c r="C147" s="6"/>
      <c r="D147" s="19"/>
      <c r="E147" s="6"/>
      <c r="F147" s="6"/>
      <c r="G147" s="6"/>
      <c r="H147" s="11">
        <f t="shared" si="3"/>
        <v>0</v>
      </c>
      <c r="I147" s="6" t="str">
        <f>IFERROR(__xludf.DUMMYFUNCTION("IF(H147="""","""",
IF(H147&lt;30,
SPARKLINE(H147,{""charttype"",""bar"";""max"",100;""color1"",""red""}),
IF(H147&lt;70,
SPARKLINE(H147,{""charttype"",""bar"";""max"",100;""color1"",""orange""}),
SPARKLINE(H147,{""charttype"",""bar"";""max"",100;""color1"",""gr"&amp;"een""})
)))"),"")</f>
        <v/>
      </c>
      <c r="J147" s="6"/>
      <c r="K147" s="6"/>
    </row>
    <row r="148">
      <c r="A148" s="6" t="str">
        <f t="shared" si="4"/>
        <v/>
      </c>
      <c r="B148" s="6"/>
      <c r="C148" s="6"/>
      <c r="D148" s="19"/>
      <c r="E148" s="6"/>
      <c r="F148" s="6"/>
      <c r="G148" s="6"/>
      <c r="H148" s="11">
        <f t="shared" si="3"/>
        <v>0</v>
      </c>
      <c r="I148" s="6" t="str">
        <f>IFERROR(__xludf.DUMMYFUNCTION("IF(H148="""","""",
IF(H148&lt;30,
SPARKLINE(H148,{""charttype"",""bar"";""max"",100;""color1"",""red""}),
IF(H148&lt;70,
SPARKLINE(H148,{""charttype"",""bar"";""max"",100;""color1"",""orange""}),
SPARKLINE(H148,{""charttype"",""bar"";""max"",100;""color1"",""gr"&amp;"een""})
)))"),"")</f>
        <v/>
      </c>
      <c r="J148" s="6"/>
      <c r="K148" s="6"/>
    </row>
    <row r="149">
      <c r="A149" s="6" t="str">
        <f t="shared" si="4"/>
        <v/>
      </c>
      <c r="B149" s="6"/>
      <c r="C149" s="6"/>
      <c r="D149" s="19"/>
      <c r="E149" s="6"/>
      <c r="F149" s="6"/>
      <c r="G149" s="6"/>
      <c r="H149" s="11">
        <f t="shared" si="3"/>
        <v>0</v>
      </c>
      <c r="I149" s="6" t="str">
        <f>IFERROR(__xludf.DUMMYFUNCTION("IF(H149="""","""",
IF(H149&lt;30,
SPARKLINE(H149,{""charttype"",""bar"";""max"",100;""color1"",""red""}),
IF(H149&lt;70,
SPARKLINE(H149,{""charttype"",""bar"";""max"",100;""color1"",""orange""}),
SPARKLINE(H149,{""charttype"",""bar"";""max"",100;""color1"",""gr"&amp;"een""})
)))"),"")</f>
        <v/>
      </c>
      <c r="J149" s="6"/>
      <c r="K149" s="6"/>
    </row>
    <row r="150">
      <c r="A150" s="6" t="str">
        <f t="shared" si="4"/>
        <v/>
      </c>
      <c r="B150" s="6"/>
      <c r="C150" s="6"/>
      <c r="D150" s="19"/>
      <c r="E150" s="6"/>
      <c r="F150" s="6"/>
      <c r="G150" s="6"/>
      <c r="H150" s="11">
        <f t="shared" si="3"/>
        <v>0</v>
      </c>
      <c r="I150" s="6" t="str">
        <f>IFERROR(__xludf.DUMMYFUNCTION("IF(H150="""","""",
IF(H150&lt;30,
SPARKLINE(H150,{""charttype"",""bar"";""max"",100;""color1"",""red""}),
IF(H150&lt;70,
SPARKLINE(H150,{""charttype"",""bar"";""max"",100;""color1"",""orange""}),
SPARKLINE(H150,{""charttype"",""bar"";""max"",100;""color1"",""gr"&amp;"een""})
)))"),"")</f>
        <v/>
      </c>
      <c r="J150" s="6"/>
      <c r="K150" s="6"/>
    </row>
    <row r="151">
      <c r="A151" s="6" t="str">
        <f t="shared" si="4"/>
        <v/>
      </c>
      <c r="B151" s="6"/>
      <c r="C151" s="6"/>
      <c r="D151" s="19"/>
      <c r="E151" s="6"/>
      <c r="F151" s="6"/>
      <c r="G151" s="6"/>
      <c r="H151" s="11">
        <f t="shared" si="3"/>
        <v>0</v>
      </c>
      <c r="I151" s="6" t="str">
        <f>IFERROR(__xludf.DUMMYFUNCTION("IF(H151="""","""",
IF(H151&lt;30,
SPARKLINE(H151,{""charttype"",""bar"";""max"",100;""color1"",""red""}),
IF(H151&lt;70,
SPARKLINE(H151,{""charttype"",""bar"";""max"",100;""color1"",""orange""}),
SPARKLINE(H151,{""charttype"",""bar"";""max"",100;""color1"",""gr"&amp;"een""})
)))"),"")</f>
        <v/>
      </c>
      <c r="J151" s="6"/>
      <c r="K151" s="6"/>
    </row>
    <row r="152">
      <c r="A152" s="6" t="str">
        <f t="shared" si="4"/>
        <v/>
      </c>
      <c r="B152" s="6"/>
      <c r="C152" s="6"/>
      <c r="D152" s="19"/>
      <c r="E152" s="6"/>
      <c r="F152" s="6"/>
      <c r="G152" s="6"/>
      <c r="H152" s="11">
        <f t="shared" si="3"/>
        <v>0</v>
      </c>
      <c r="I152" s="6" t="str">
        <f>IFERROR(__xludf.DUMMYFUNCTION("IF(H152="""","""",
IF(H152&lt;30,
SPARKLINE(H152,{""charttype"",""bar"";""max"",100;""color1"",""red""}),
IF(H152&lt;70,
SPARKLINE(H152,{""charttype"",""bar"";""max"",100;""color1"",""orange""}),
SPARKLINE(H152,{""charttype"",""bar"";""max"",100;""color1"",""gr"&amp;"een""})
)))"),"")</f>
        <v/>
      </c>
      <c r="J152" s="6"/>
      <c r="K152" s="6"/>
    </row>
    <row r="153">
      <c r="A153" s="6" t="str">
        <f t="shared" si="4"/>
        <v/>
      </c>
      <c r="B153" s="6"/>
      <c r="C153" s="6"/>
      <c r="D153" s="19"/>
      <c r="E153" s="6"/>
      <c r="F153" s="6"/>
      <c r="G153" s="6"/>
      <c r="H153" s="11">
        <f t="shared" si="3"/>
        <v>0</v>
      </c>
      <c r="I153" s="6" t="str">
        <f>IFERROR(__xludf.DUMMYFUNCTION("IF(H153="""","""",
IF(H153&lt;30,
SPARKLINE(H153,{""charttype"",""bar"";""max"",100;""color1"",""red""}),
IF(H153&lt;70,
SPARKLINE(H153,{""charttype"",""bar"";""max"",100;""color1"",""orange""}),
SPARKLINE(H153,{""charttype"",""bar"";""max"",100;""color1"",""gr"&amp;"een""})
)))"),"")</f>
        <v/>
      </c>
      <c r="J153" s="6"/>
      <c r="K153" s="6"/>
    </row>
    <row r="154">
      <c r="A154" s="6" t="str">
        <f t="shared" si="4"/>
        <v/>
      </c>
      <c r="B154" s="6"/>
      <c r="C154" s="6"/>
      <c r="D154" s="19"/>
      <c r="E154" s="6"/>
      <c r="F154" s="6"/>
      <c r="G154" s="6"/>
      <c r="H154" s="11">
        <f t="shared" si="3"/>
        <v>0</v>
      </c>
      <c r="I154" s="6" t="str">
        <f>IFERROR(__xludf.DUMMYFUNCTION("IF(H154="""","""",
IF(H154&lt;30,
SPARKLINE(H154,{""charttype"",""bar"";""max"",100;""color1"",""red""}),
IF(H154&lt;70,
SPARKLINE(H154,{""charttype"",""bar"";""max"",100;""color1"",""orange""}),
SPARKLINE(H154,{""charttype"",""bar"";""max"",100;""color1"",""gr"&amp;"een""})
)))"),"")</f>
        <v/>
      </c>
      <c r="J154" s="6"/>
      <c r="K154" s="6"/>
    </row>
    <row r="155">
      <c r="A155" s="6" t="str">
        <f t="shared" si="4"/>
        <v/>
      </c>
      <c r="B155" s="6"/>
      <c r="C155" s="6"/>
      <c r="D155" s="19"/>
      <c r="E155" s="6"/>
      <c r="F155" s="6"/>
      <c r="G155" s="6"/>
      <c r="H155" s="11">
        <f t="shared" si="3"/>
        <v>0</v>
      </c>
      <c r="I155" s="6" t="str">
        <f>IFERROR(__xludf.DUMMYFUNCTION("IF(H155="""","""",
IF(H155&lt;30,
SPARKLINE(H155,{""charttype"",""bar"";""max"",100;""color1"",""red""}),
IF(H155&lt;70,
SPARKLINE(H155,{""charttype"",""bar"";""max"",100;""color1"",""orange""}),
SPARKLINE(H155,{""charttype"",""bar"";""max"",100;""color1"",""gr"&amp;"een""})
)))"),"")</f>
        <v/>
      </c>
      <c r="J155" s="6"/>
      <c r="K155" s="6"/>
    </row>
    <row r="156">
      <c r="A156" s="6" t="str">
        <f t="shared" si="4"/>
        <v/>
      </c>
      <c r="B156" s="6"/>
      <c r="C156" s="6"/>
      <c r="D156" s="19"/>
      <c r="E156" s="6"/>
      <c r="F156" s="6"/>
      <c r="G156" s="6"/>
      <c r="H156" s="11">
        <f t="shared" si="3"/>
        <v>0</v>
      </c>
      <c r="I156" s="6" t="str">
        <f>IFERROR(__xludf.DUMMYFUNCTION("IF(H156="""","""",
IF(H156&lt;30,
SPARKLINE(H156,{""charttype"",""bar"";""max"",100;""color1"",""red""}),
IF(H156&lt;70,
SPARKLINE(H156,{""charttype"",""bar"";""max"",100;""color1"",""orange""}),
SPARKLINE(H156,{""charttype"",""bar"";""max"",100;""color1"",""gr"&amp;"een""})
)))"),"")</f>
        <v/>
      </c>
      <c r="J156" s="6"/>
      <c r="K156" s="6"/>
    </row>
    <row r="157">
      <c r="A157" s="6" t="str">
        <f t="shared" si="4"/>
        <v/>
      </c>
      <c r="B157" s="6"/>
      <c r="C157" s="6"/>
      <c r="D157" s="19"/>
      <c r="E157" s="6"/>
      <c r="F157" s="6"/>
      <c r="G157" s="6"/>
      <c r="H157" s="11">
        <f t="shared" si="3"/>
        <v>0</v>
      </c>
      <c r="I157" s="6" t="str">
        <f>IFERROR(__xludf.DUMMYFUNCTION("IF(H157="""","""",
IF(H157&lt;30,
SPARKLINE(H157,{""charttype"",""bar"";""max"",100;""color1"",""red""}),
IF(H157&lt;70,
SPARKLINE(H157,{""charttype"",""bar"";""max"",100;""color1"",""orange""}),
SPARKLINE(H157,{""charttype"",""bar"";""max"",100;""color1"",""gr"&amp;"een""})
)))"),"")</f>
        <v/>
      </c>
      <c r="J157" s="6"/>
      <c r="K157" s="6"/>
    </row>
    <row r="158">
      <c r="A158" s="6" t="str">
        <f t="shared" si="4"/>
        <v/>
      </c>
      <c r="B158" s="6"/>
      <c r="C158" s="6"/>
      <c r="D158" s="19"/>
      <c r="E158" s="6"/>
      <c r="F158" s="6"/>
      <c r="G158" s="6"/>
      <c r="H158" s="11">
        <f t="shared" si="3"/>
        <v>0</v>
      </c>
      <c r="I158" s="6" t="str">
        <f>IFERROR(__xludf.DUMMYFUNCTION("IF(H158="""","""",
IF(H158&lt;30,
SPARKLINE(H158,{""charttype"",""bar"";""max"",100;""color1"",""red""}),
IF(H158&lt;70,
SPARKLINE(H158,{""charttype"",""bar"";""max"",100;""color1"",""orange""}),
SPARKLINE(H158,{""charttype"",""bar"";""max"",100;""color1"",""gr"&amp;"een""})
)))"),"")</f>
        <v/>
      </c>
      <c r="J158" s="6"/>
      <c r="K158" s="6"/>
    </row>
    <row r="159">
      <c r="A159" s="6" t="str">
        <f t="shared" si="4"/>
        <v/>
      </c>
      <c r="B159" s="6"/>
      <c r="C159" s="6"/>
      <c r="D159" s="19"/>
      <c r="E159" s="6"/>
      <c r="F159" s="6"/>
      <c r="G159" s="6"/>
      <c r="H159" s="11">
        <f t="shared" si="3"/>
        <v>0</v>
      </c>
      <c r="I159" s="6" t="str">
        <f>IFERROR(__xludf.DUMMYFUNCTION("IF(H159="""","""",
IF(H159&lt;30,
SPARKLINE(H159,{""charttype"",""bar"";""max"",100;""color1"",""red""}),
IF(H159&lt;70,
SPARKLINE(H159,{""charttype"",""bar"";""max"",100;""color1"",""orange""}),
SPARKLINE(H159,{""charttype"",""bar"";""max"",100;""color1"",""gr"&amp;"een""})
)))"),"")</f>
        <v/>
      </c>
      <c r="J159" s="6"/>
      <c r="K159" s="6"/>
    </row>
    <row r="160">
      <c r="A160" s="6" t="str">
        <f t="shared" si="4"/>
        <v/>
      </c>
      <c r="B160" s="6"/>
      <c r="C160" s="6"/>
      <c r="D160" s="19"/>
      <c r="E160" s="6"/>
      <c r="F160" s="6"/>
      <c r="G160" s="6"/>
      <c r="H160" s="11">
        <f t="shared" si="3"/>
        <v>0</v>
      </c>
      <c r="I160" s="6" t="str">
        <f>IFERROR(__xludf.DUMMYFUNCTION("IF(H160="""","""",
IF(H160&lt;30,
SPARKLINE(H160,{""charttype"",""bar"";""max"",100;""color1"",""red""}),
IF(H160&lt;70,
SPARKLINE(H160,{""charttype"",""bar"";""max"",100;""color1"",""orange""}),
SPARKLINE(H160,{""charttype"",""bar"";""max"",100;""color1"",""gr"&amp;"een""})
)))"),"")</f>
        <v/>
      </c>
      <c r="J160" s="6"/>
      <c r="K160" s="6"/>
    </row>
    <row r="161">
      <c r="A161" s="6" t="str">
        <f t="shared" si="4"/>
        <v/>
      </c>
      <c r="B161" s="6"/>
      <c r="C161" s="6"/>
      <c r="D161" s="19"/>
      <c r="E161" s="6"/>
      <c r="F161" s="6"/>
      <c r="G161" s="6"/>
      <c r="H161" s="11">
        <f t="shared" si="3"/>
        <v>0</v>
      </c>
      <c r="I161" s="6" t="str">
        <f>IFERROR(__xludf.DUMMYFUNCTION("IF(H161="""","""",
IF(H161&lt;30,
SPARKLINE(H161,{""charttype"",""bar"";""max"",100;""color1"",""red""}),
IF(H161&lt;70,
SPARKLINE(H161,{""charttype"",""bar"";""max"",100;""color1"",""orange""}),
SPARKLINE(H161,{""charttype"",""bar"";""max"",100;""color1"",""gr"&amp;"een""})
)))"),"")</f>
        <v/>
      </c>
      <c r="J161" s="6"/>
      <c r="K161" s="6"/>
    </row>
    <row r="162">
      <c r="A162" s="6" t="str">
        <f t="shared" si="4"/>
        <v/>
      </c>
      <c r="B162" s="6"/>
      <c r="C162" s="6"/>
      <c r="D162" s="19"/>
      <c r="E162" s="6"/>
      <c r="F162" s="6"/>
      <c r="G162" s="6"/>
      <c r="H162" s="11">
        <f t="shared" si="3"/>
        <v>0</v>
      </c>
      <c r="I162" s="6" t="str">
        <f>IFERROR(__xludf.DUMMYFUNCTION("IF(H162="""","""",
IF(H162&lt;30,
SPARKLINE(H162,{""charttype"",""bar"";""max"",100;""color1"",""red""}),
IF(H162&lt;70,
SPARKLINE(H162,{""charttype"",""bar"";""max"",100;""color1"",""orange""}),
SPARKLINE(H162,{""charttype"",""bar"";""max"",100;""color1"",""gr"&amp;"een""})
)))"),"")</f>
        <v/>
      </c>
      <c r="J162" s="6"/>
      <c r="K162" s="6"/>
    </row>
    <row r="163">
      <c r="A163" s="6" t="str">
        <f t="shared" si="4"/>
        <v/>
      </c>
      <c r="B163" s="6"/>
      <c r="C163" s="6"/>
      <c r="D163" s="19"/>
      <c r="E163" s="6"/>
      <c r="F163" s="6"/>
      <c r="G163" s="6"/>
      <c r="H163" s="11">
        <f t="shared" si="3"/>
        <v>0</v>
      </c>
      <c r="I163" s="6" t="str">
        <f>IFERROR(__xludf.DUMMYFUNCTION("IF(H163="""","""",
IF(H163&lt;30,
SPARKLINE(H163,{""charttype"",""bar"";""max"",100;""color1"",""red""}),
IF(H163&lt;70,
SPARKLINE(H163,{""charttype"",""bar"";""max"",100;""color1"",""orange""}),
SPARKLINE(H163,{""charttype"",""bar"";""max"",100;""color1"",""gr"&amp;"een""})
)))"),"")</f>
        <v/>
      </c>
      <c r="J163" s="6"/>
      <c r="K163" s="6"/>
    </row>
    <row r="164">
      <c r="A164" s="6" t="str">
        <f t="shared" si="4"/>
        <v/>
      </c>
      <c r="B164" s="6"/>
      <c r="C164" s="6"/>
      <c r="D164" s="19"/>
      <c r="E164" s="6"/>
      <c r="F164" s="6"/>
      <c r="G164" s="6"/>
      <c r="H164" s="11">
        <f t="shared" si="3"/>
        <v>0</v>
      </c>
      <c r="I164" s="6" t="str">
        <f>IFERROR(__xludf.DUMMYFUNCTION("IF(H164="""","""",
IF(H164&lt;30,
SPARKLINE(H164,{""charttype"",""bar"";""max"",100;""color1"",""red""}),
IF(H164&lt;70,
SPARKLINE(H164,{""charttype"",""bar"";""max"",100;""color1"",""orange""}),
SPARKLINE(H164,{""charttype"",""bar"";""max"",100;""color1"",""gr"&amp;"een""})
)))"),"")</f>
        <v/>
      </c>
      <c r="J164" s="6"/>
      <c r="K164" s="6"/>
    </row>
    <row r="165">
      <c r="A165" s="6" t="str">
        <f t="shared" si="4"/>
        <v/>
      </c>
      <c r="B165" s="6"/>
      <c r="C165" s="6"/>
      <c r="D165" s="19"/>
      <c r="E165" s="6"/>
      <c r="F165" s="6"/>
      <c r="G165" s="6"/>
      <c r="H165" s="11">
        <f t="shared" si="3"/>
        <v>0</v>
      </c>
      <c r="I165" s="6" t="str">
        <f>IFERROR(__xludf.DUMMYFUNCTION("IF(H165="""","""",
IF(H165&lt;30,
SPARKLINE(H165,{""charttype"",""bar"";""max"",100;""color1"",""red""}),
IF(H165&lt;70,
SPARKLINE(H165,{""charttype"",""bar"";""max"",100;""color1"",""orange""}),
SPARKLINE(H165,{""charttype"",""bar"";""max"",100;""color1"",""gr"&amp;"een""})
)))"),"")</f>
        <v/>
      </c>
      <c r="J165" s="6"/>
      <c r="K165" s="6"/>
    </row>
    <row r="166">
      <c r="A166" s="6" t="str">
        <f t="shared" si="4"/>
        <v/>
      </c>
      <c r="B166" s="6"/>
      <c r="C166" s="6"/>
      <c r="D166" s="19"/>
      <c r="E166" s="6"/>
      <c r="F166" s="6"/>
      <c r="G166" s="6"/>
      <c r="H166" s="11">
        <f t="shared" si="3"/>
        <v>0</v>
      </c>
      <c r="I166" s="6" t="str">
        <f>IFERROR(__xludf.DUMMYFUNCTION("IF(H166="""","""",
IF(H166&lt;30,
SPARKLINE(H166,{""charttype"",""bar"";""max"",100;""color1"",""red""}),
IF(H166&lt;70,
SPARKLINE(H166,{""charttype"",""bar"";""max"",100;""color1"",""orange""}),
SPARKLINE(H166,{""charttype"",""bar"";""max"",100;""color1"",""gr"&amp;"een""})
)))"),"")</f>
        <v/>
      </c>
      <c r="J166" s="6"/>
      <c r="K166" s="6"/>
    </row>
    <row r="167">
      <c r="A167" s="6" t="str">
        <f t="shared" si="4"/>
        <v/>
      </c>
      <c r="B167" s="6"/>
      <c r="C167" s="6"/>
      <c r="D167" s="19"/>
      <c r="E167" s="6"/>
      <c r="F167" s="6"/>
      <c r="G167" s="6"/>
      <c r="H167" s="11">
        <f t="shared" si="3"/>
        <v>0</v>
      </c>
      <c r="I167" s="6" t="str">
        <f>IFERROR(__xludf.DUMMYFUNCTION("IF(H167="""","""",
IF(H167&lt;30,
SPARKLINE(H167,{""charttype"",""bar"";""max"",100;""color1"",""red""}),
IF(H167&lt;70,
SPARKLINE(H167,{""charttype"",""bar"";""max"",100;""color1"",""orange""}),
SPARKLINE(H167,{""charttype"",""bar"";""max"",100;""color1"",""gr"&amp;"een""})
)))"),"")</f>
        <v/>
      </c>
      <c r="J167" s="6"/>
      <c r="K167" s="6"/>
    </row>
    <row r="168">
      <c r="A168" s="6" t="str">
        <f t="shared" si="4"/>
        <v/>
      </c>
      <c r="B168" s="6"/>
      <c r="C168" s="6"/>
      <c r="D168" s="19"/>
      <c r="E168" s="6"/>
      <c r="F168" s="6"/>
      <c r="G168" s="6"/>
      <c r="H168" s="11">
        <f t="shared" si="3"/>
        <v>0</v>
      </c>
      <c r="I168" s="6" t="str">
        <f>IFERROR(__xludf.DUMMYFUNCTION("IF(H168="""","""",
IF(H168&lt;30,
SPARKLINE(H168,{""charttype"",""bar"";""max"",100;""color1"",""red""}),
IF(H168&lt;70,
SPARKLINE(H168,{""charttype"",""bar"";""max"",100;""color1"",""orange""}),
SPARKLINE(H168,{""charttype"",""bar"";""max"",100;""color1"",""gr"&amp;"een""})
)))"),"")</f>
        <v/>
      </c>
      <c r="J168" s="6"/>
      <c r="K168" s="6"/>
    </row>
    <row r="169">
      <c r="A169" s="6" t="str">
        <f t="shared" si="4"/>
        <v/>
      </c>
      <c r="B169" s="6"/>
      <c r="C169" s="6"/>
      <c r="D169" s="19"/>
      <c r="E169" s="6"/>
      <c r="F169" s="6"/>
      <c r="G169" s="6"/>
      <c r="H169" s="11">
        <f t="shared" si="3"/>
        <v>0</v>
      </c>
      <c r="I169" s="6" t="str">
        <f>IFERROR(__xludf.DUMMYFUNCTION("IF(H169="""","""",
IF(H169&lt;30,
SPARKLINE(H169,{""charttype"",""bar"";""max"",100;""color1"",""red""}),
IF(H169&lt;70,
SPARKLINE(H169,{""charttype"",""bar"";""max"",100;""color1"",""orange""}),
SPARKLINE(H169,{""charttype"",""bar"";""max"",100;""color1"",""gr"&amp;"een""})
)))"),"")</f>
        <v/>
      </c>
      <c r="J169" s="6"/>
      <c r="K169" s="6"/>
    </row>
    <row r="170">
      <c r="A170" s="6" t="str">
        <f t="shared" si="4"/>
        <v/>
      </c>
      <c r="B170" s="6"/>
      <c r="C170" s="6"/>
      <c r="D170" s="19"/>
      <c r="E170" s="6"/>
      <c r="F170" s="6"/>
      <c r="G170" s="6"/>
      <c r="H170" s="11">
        <f t="shared" si="3"/>
        <v>0</v>
      </c>
      <c r="I170" s="6" t="str">
        <f>IFERROR(__xludf.DUMMYFUNCTION("IF(H170="""","""",
IF(H170&lt;30,
SPARKLINE(H170,{""charttype"",""bar"";""max"",100;""color1"",""red""}),
IF(H170&lt;70,
SPARKLINE(H170,{""charttype"",""bar"";""max"",100;""color1"",""orange""}),
SPARKLINE(H170,{""charttype"",""bar"";""max"",100;""color1"",""gr"&amp;"een""})
)))"),"")</f>
        <v/>
      </c>
      <c r="J170" s="6"/>
      <c r="K170" s="6"/>
    </row>
    <row r="171">
      <c r="A171" s="6" t="str">
        <f t="shared" si="4"/>
        <v/>
      </c>
      <c r="B171" s="6"/>
      <c r="C171" s="6"/>
      <c r="D171" s="19"/>
      <c r="E171" s="6"/>
      <c r="F171" s="6"/>
      <c r="G171" s="6"/>
      <c r="H171" s="11">
        <f t="shared" si="3"/>
        <v>0</v>
      </c>
      <c r="I171" s="6" t="str">
        <f>IFERROR(__xludf.DUMMYFUNCTION("IF(H171="""","""",
IF(H171&lt;30,
SPARKLINE(H171,{""charttype"",""bar"";""max"",100;""color1"",""red""}),
IF(H171&lt;70,
SPARKLINE(H171,{""charttype"",""bar"";""max"",100;""color1"",""orange""}),
SPARKLINE(H171,{""charttype"",""bar"";""max"",100;""color1"",""gr"&amp;"een""})
)))"),"")</f>
        <v/>
      </c>
      <c r="J171" s="6"/>
      <c r="K171" s="6"/>
    </row>
    <row r="172">
      <c r="A172" s="6" t="str">
        <f t="shared" si="4"/>
        <v/>
      </c>
      <c r="B172" s="6"/>
      <c r="C172" s="6"/>
      <c r="D172" s="19"/>
      <c r="E172" s="6"/>
      <c r="F172" s="6"/>
      <c r="G172" s="6"/>
      <c r="H172" s="11">
        <f t="shared" si="3"/>
        <v>0</v>
      </c>
      <c r="I172" s="6" t="str">
        <f>IFERROR(__xludf.DUMMYFUNCTION("IF(H172="""","""",
IF(H172&lt;30,
SPARKLINE(H172,{""charttype"",""bar"";""max"",100;""color1"",""red""}),
IF(H172&lt;70,
SPARKLINE(H172,{""charttype"",""bar"";""max"",100;""color1"",""orange""}),
SPARKLINE(H172,{""charttype"",""bar"";""max"",100;""color1"",""gr"&amp;"een""})
)))"),"")</f>
        <v/>
      </c>
      <c r="J172" s="6"/>
      <c r="K172" s="6"/>
    </row>
    <row r="173">
      <c r="A173" s="6" t="str">
        <f t="shared" si="4"/>
        <v/>
      </c>
      <c r="B173" s="6"/>
      <c r="C173" s="6"/>
      <c r="D173" s="19"/>
      <c r="E173" s="6"/>
      <c r="F173" s="6"/>
      <c r="G173" s="6"/>
      <c r="H173" s="11">
        <f t="shared" si="3"/>
        <v>0</v>
      </c>
      <c r="I173" s="6" t="str">
        <f>IFERROR(__xludf.DUMMYFUNCTION("IF(H173="""","""",
IF(H173&lt;30,
SPARKLINE(H173,{""charttype"",""bar"";""max"",100;""color1"",""red""}),
IF(H173&lt;70,
SPARKLINE(H173,{""charttype"",""bar"";""max"",100;""color1"",""orange""}),
SPARKLINE(H173,{""charttype"",""bar"";""max"",100;""color1"",""gr"&amp;"een""})
)))"),"")</f>
        <v/>
      </c>
      <c r="J173" s="6"/>
      <c r="K173" s="6"/>
    </row>
    <row r="174">
      <c r="A174" s="6" t="str">
        <f t="shared" si="4"/>
        <v/>
      </c>
      <c r="B174" s="6"/>
      <c r="C174" s="6"/>
      <c r="D174" s="19"/>
      <c r="E174" s="6"/>
      <c r="F174" s="6"/>
      <c r="G174" s="6"/>
      <c r="H174" s="11">
        <f t="shared" si="3"/>
        <v>0</v>
      </c>
      <c r="I174" s="6" t="str">
        <f>IFERROR(__xludf.DUMMYFUNCTION("IF(H174="""","""",
IF(H174&lt;30,
SPARKLINE(H174,{""charttype"",""bar"";""max"",100;""color1"",""red""}),
IF(H174&lt;70,
SPARKLINE(H174,{""charttype"",""bar"";""max"",100;""color1"",""orange""}),
SPARKLINE(H174,{""charttype"",""bar"";""max"",100;""color1"",""gr"&amp;"een""})
)))"),"")</f>
        <v/>
      </c>
      <c r="J174" s="6"/>
      <c r="K174" s="6"/>
    </row>
    <row r="175">
      <c r="A175" s="6" t="str">
        <f t="shared" si="4"/>
        <v/>
      </c>
      <c r="B175" s="6"/>
      <c r="C175" s="6"/>
      <c r="D175" s="19"/>
      <c r="E175" s="6"/>
      <c r="F175" s="6"/>
      <c r="G175" s="6"/>
      <c r="H175" s="11">
        <f t="shared" si="3"/>
        <v>0</v>
      </c>
      <c r="I175" s="6" t="str">
        <f>IFERROR(__xludf.DUMMYFUNCTION("IF(H175="""","""",
IF(H175&lt;30,
SPARKLINE(H175,{""charttype"",""bar"";""max"",100;""color1"",""red""}),
IF(H175&lt;70,
SPARKLINE(H175,{""charttype"",""bar"";""max"",100;""color1"",""orange""}),
SPARKLINE(H175,{""charttype"",""bar"";""max"",100;""color1"",""gr"&amp;"een""})
)))"),"")</f>
        <v/>
      </c>
      <c r="J175" s="6"/>
      <c r="K175" s="6"/>
    </row>
    <row r="176">
      <c r="A176" s="6" t="str">
        <f t="shared" si="4"/>
        <v/>
      </c>
      <c r="B176" s="6"/>
      <c r="C176" s="6"/>
      <c r="D176" s="19"/>
      <c r="E176" s="6"/>
      <c r="F176" s="6"/>
      <c r="G176" s="6"/>
      <c r="H176" s="11">
        <f t="shared" si="3"/>
        <v>0</v>
      </c>
      <c r="I176" s="6" t="str">
        <f>IFERROR(__xludf.DUMMYFUNCTION("IF(H176="""","""",
IF(H176&lt;30,
SPARKLINE(H176,{""charttype"",""bar"";""max"",100;""color1"",""red""}),
IF(H176&lt;70,
SPARKLINE(H176,{""charttype"",""bar"";""max"",100;""color1"",""orange""}),
SPARKLINE(H176,{""charttype"",""bar"";""max"",100;""color1"",""gr"&amp;"een""})
)))"),"")</f>
        <v/>
      </c>
      <c r="J176" s="6"/>
      <c r="K176" s="6"/>
    </row>
    <row r="177">
      <c r="A177" s="6" t="str">
        <f t="shared" si="4"/>
        <v/>
      </c>
      <c r="B177" s="6"/>
      <c r="C177" s="6"/>
      <c r="D177" s="19"/>
      <c r="E177" s="6"/>
      <c r="F177" s="6"/>
      <c r="G177" s="6"/>
      <c r="H177" s="11">
        <f t="shared" si="3"/>
        <v>0</v>
      </c>
      <c r="I177" s="6" t="str">
        <f>IFERROR(__xludf.DUMMYFUNCTION("IF(H177="""","""",
IF(H177&lt;30,
SPARKLINE(H177,{""charttype"",""bar"";""max"",100;""color1"",""red""}),
IF(H177&lt;70,
SPARKLINE(H177,{""charttype"",""bar"";""max"",100;""color1"",""orange""}),
SPARKLINE(H177,{""charttype"",""bar"";""max"",100;""color1"",""gr"&amp;"een""})
)))"),"")</f>
        <v/>
      </c>
      <c r="J177" s="6"/>
      <c r="K177" s="6"/>
    </row>
    <row r="178">
      <c r="A178" s="6" t="str">
        <f t="shared" si="4"/>
        <v/>
      </c>
      <c r="B178" s="6"/>
      <c r="C178" s="6"/>
      <c r="D178" s="19"/>
      <c r="E178" s="6"/>
      <c r="F178" s="6"/>
      <c r="G178" s="6"/>
      <c r="H178" s="11">
        <f t="shared" si="3"/>
        <v>0</v>
      </c>
      <c r="I178" s="6" t="str">
        <f>IFERROR(__xludf.DUMMYFUNCTION("IF(H178="""","""",
IF(H178&lt;30,
SPARKLINE(H178,{""charttype"",""bar"";""max"",100;""color1"",""red""}),
IF(H178&lt;70,
SPARKLINE(H178,{""charttype"",""bar"";""max"",100;""color1"",""orange""}),
SPARKLINE(H178,{""charttype"",""bar"";""max"",100;""color1"",""gr"&amp;"een""})
)))"),"")</f>
        <v/>
      </c>
      <c r="J178" s="6"/>
      <c r="K178" s="6"/>
    </row>
    <row r="179">
      <c r="A179" s="6" t="str">
        <f t="shared" si="4"/>
        <v/>
      </c>
      <c r="B179" s="6"/>
      <c r="C179" s="6"/>
      <c r="D179" s="19"/>
      <c r="E179" s="6"/>
      <c r="F179" s="6"/>
      <c r="G179" s="6"/>
      <c r="H179" s="11">
        <f t="shared" si="3"/>
        <v>0</v>
      </c>
      <c r="I179" s="6" t="str">
        <f>IFERROR(__xludf.DUMMYFUNCTION("IF(H179="""","""",
IF(H179&lt;30,
SPARKLINE(H179,{""charttype"",""bar"";""max"",100;""color1"",""red""}),
IF(H179&lt;70,
SPARKLINE(H179,{""charttype"",""bar"";""max"",100;""color1"",""orange""}),
SPARKLINE(H179,{""charttype"",""bar"";""max"",100;""color1"",""gr"&amp;"een""})
)))"),"")</f>
        <v/>
      </c>
      <c r="J179" s="6"/>
      <c r="K179" s="6"/>
    </row>
    <row r="180">
      <c r="A180" s="6" t="str">
        <f t="shared" si="4"/>
        <v/>
      </c>
      <c r="B180" s="6"/>
      <c r="C180" s="6"/>
      <c r="D180" s="19"/>
      <c r="E180" s="6"/>
      <c r="F180" s="6"/>
      <c r="G180" s="6"/>
      <c r="H180" s="11">
        <f t="shared" si="3"/>
        <v>0</v>
      </c>
      <c r="I180" s="6" t="str">
        <f>IFERROR(__xludf.DUMMYFUNCTION("IF(H180="""","""",
IF(H180&lt;30,
SPARKLINE(H180,{""charttype"",""bar"";""max"",100;""color1"",""red""}),
IF(H180&lt;70,
SPARKLINE(H180,{""charttype"",""bar"";""max"",100;""color1"",""orange""}),
SPARKLINE(H180,{""charttype"",""bar"";""max"",100;""color1"",""gr"&amp;"een""})
)))"),"")</f>
        <v/>
      </c>
      <c r="J180" s="6"/>
      <c r="K180" s="6"/>
    </row>
    <row r="181">
      <c r="A181" s="6" t="str">
        <f t="shared" si="4"/>
        <v/>
      </c>
      <c r="B181" s="6"/>
      <c r="C181" s="6"/>
      <c r="D181" s="19"/>
      <c r="E181" s="6"/>
      <c r="F181" s="6"/>
      <c r="G181" s="6"/>
      <c r="H181" s="11">
        <f t="shared" si="3"/>
        <v>0</v>
      </c>
      <c r="I181" s="6" t="str">
        <f>IFERROR(__xludf.DUMMYFUNCTION("IF(H181="""","""",
IF(H181&lt;30,
SPARKLINE(H181,{""charttype"",""bar"";""max"",100;""color1"",""red""}),
IF(H181&lt;70,
SPARKLINE(H181,{""charttype"",""bar"";""max"",100;""color1"",""orange""}),
SPARKLINE(H181,{""charttype"",""bar"";""max"",100;""color1"",""gr"&amp;"een""})
)))"),"")</f>
        <v/>
      </c>
      <c r="J181" s="6"/>
      <c r="K181" s="6"/>
    </row>
    <row r="182">
      <c r="A182" s="6" t="str">
        <f t="shared" si="4"/>
        <v/>
      </c>
      <c r="B182" s="6"/>
      <c r="C182" s="6"/>
      <c r="D182" s="19"/>
      <c r="E182" s="6"/>
      <c r="F182" s="6"/>
      <c r="G182" s="6"/>
      <c r="H182" s="11">
        <f t="shared" si="3"/>
        <v>0</v>
      </c>
      <c r="I182" s="6" t="str">
        <f>IFERROR(__xludf.DUMMYFUNCTION("IF(H182="""","""",
IF(H182&lt;30,
SPARKLINE(H182,{""charttype"",""bar"";""max"",100;""color1"",""red""}),
IF(H182&lt;70,
SPARKLINE(H182,{""charttype"",""bar"";""max"",100;""color1"",""orange""}),
SPARKLINE(H182,{""charttype"",""bar"";""max"",100;""color1"",""gr"&amp;"een""})
)))"),"")</f>
        <v/>
      </c>
      <c r="J182" s="6"/>
      <c r="K182" s="6"/>
    </row>
    <row r="183">
      <c r="A183" s="6" t="str">
        <f t="shared" si="4"/>
        <v/>
      </c>
      <c r="B183" s="6"/>
      <c r="C183" s="6"/>
      <c r="D183" s="19"/>
      <c r="E183" s="6"/>
      <c r="F183" s="6"/>
      <c r="G183" s="6"/>
      <c r="H183" s="11">
        <f t="shared" si="3"/>
        <v>0</v>
      </c>
      <c r="I183" s="6" t="str">
        <f>IFERROR(__xludf.DUMMYFUNCTION("IF(H183="""","""",
IF(H183&lt;30,
SPARKLINE(H183,{""charttype"",""bar"";""max"",100;""color1"",""red""}),
IF(H183&lt;70,
SPARKLINE(H183,{""charttype"",""bar"";""max"",100;""color1"",""orange""}),
SPARKLINE(H183,{""charttype"",""bar"";""max"",100;""color1"",""gr"&amp;"een""})
)))"),"")</f>
        <v/>
      </c>
      <c r="J183" s="6"/>
      <c r="K183" s="6"/>
    </row>
    <row r="184">
      <c r="A184" s="6" t="str">
        <f t="shared" si="4"/>
        <v/>
      </c>
      <c r="B184" s="6"/>
      <c r="C184" s="6"/>
      <c r="D184" s="19"/>
      <c r="E184" s="6"/>
      <c r="F184" s="6"/>
      <c r="G184" s="6"/>
      <c r="H184" s="11">
        <f t="shared" si="3"/>
        <v>0</v>
      </c>
      <c r="I184" s="6" t="str">
        <f>IFERROR(__xludf.DUMMYFUNCTION("IF(H184="""","""",
IF(H184&lt;30,
SPARKLINE(H184,{""charttype"",""bar"";""max"",100;""color1"",""red""}),
IF(H184&lt;70,
SPARKLINE(H184,{""charttype"",""bar"";""max"",100;""color1"",""orange""}),
SPARKLINE(H184,{""charttype"",""bar"";""max"",100;""color1"",""gr"&amp;"een""})
)))"),"")</f>
        <v/>
      </c>
      <c r="J184" s="6"/>
      <c r="K184" s="6"/>
    </row>
    <row r="185">
      <c r="B185" s="6"/>
      <c r="D185" s="7"/>
      <c r="G185" s="20"/>
      <c r="K185" s="6"/>
    </row>
    <row r="186">
      <c r="B186" s="6"/>
      <c r="D186" s="7"/>
      <c r="G186" s="20"/>
      <c r="K186" s="6"/>
    </row>
    <row r="187">
      <c r="B187" s="6"/>
      <c r="D187" s="7"/>
      <c r="G187" s="20"/>
      <c r="K187" s="6"/>
    </row>
    <row r="188">
      <c r="B188" s="6"/>
      <c r="D188" s="7"/>
      <c r="G188" s="20"/>
      <c r="K188" s="6"/>
    </row>
    <row r="189">
      <c r="B189" s="6"/>
      <c r="D189" s="7"/>
      <c r="G189" s="20"/>
      <c r="K189" s="6"/>
    </row>
    <row r="190">
      <c r="B190" s="6"/>
      <c r="D190" s="7"/>
      <c r="G190" s="20"/>
      <c r="K190" s="6"/>
    </row>
    <row r="191">
      <c r="B191" s="6"/>
      <c r="D191" s="7"/>
      <c r="G191" s="20"/>
      <c r="K191" s="6"/>
    </row>
    <row r="192">
      <c r="B192" s="6"/>
      <c r="D192" s="7"/>
      <c r="G192" s="20"/>
      <c r="K192" s="6"/>
    </row>
    <row r="193">
      <c r="B193" s="6"/>
      <c r="D193" s="7"/>
      <c r="G193" s="20"/>
      <c r="K193" s="6"/>
    </row>
    <row r="194">
      <c r="B194" s="6"/>
      <c r="D194" s="7"/>
      <c r="G194" s="20"/>
      <c r="K194" s="6"/>
    </row>
    <row r="195">
      <c r="B195" s="6"/>
      <c r="D195" s="7"/>
      <c r="G195" s="20"/>
      <c r="K195" s="6"/>
    </row>
    <row r="196">
      <c r="B196" s="6"/>
      <c r="D196" s="7"/>
      <c r="G196" s="20"/>
      <c r="K196" s="6"/>
    </row>
    <row r="197">
      <c r="B197" s="6"/>
      <c r="D197" s="7"/>
      <c r="G197" s="20"/>
      <c r="K197" s="6"/>
    </row>
    <row r="198">
      <c r="B198" s="6"/>
      <c r="D198" s="7"/>
      <c r="G198" s="20"/>
      <c r="K198" s="6"/>
    </row>
    <row r="199">
      <c r="B199" s="6"/>
      <c r="D199" s="7"/>
      <c r="G199" s="20"/>
      <c r="K199" s="6"/>
    </row>
    <row r="200">
      <c r="B200" s="6"/>
      <c r="D200" s="7"/>
      <c r="G200" s="20"/>
      <c r="K200" s="6"/>
    </row>
    <row r="201">
      <c r="B201" s="6"/>
      <c r="D201" s="7"/>
      <c r="G201" s="20"/>
      <c r="K201" s="6"/>
    </row>
    <row r="202">
      <c r="B202" s="6"/>
      <c r="D202" s="7"/>
      <c r="G202" s="20"/>
      <c r="K202" s="6"/>
    </row>
    <row r="203">
      <c r="B203" s="6"/>
      <c r="D203" s="7"/>
      <c r="G203" s="20"/>
      <c r="K203" s="6"/>
    </row>
    <row r="204">
      <c r="B204" s="6"/>
      <c r="D204" s="7"/>
      <c r="G204" s="20"/>
      <c r="K204" s="6"/>
    </row>
    <row r="205">
      <c r="B205" s="6"/>
      <c r="D205" s="7"/>
      <c r="G205" s="20"/>
      <c r="K205" s="6"/>
    </row>
    <row r="206">
      <c r="B206" s="6"/>
      <c r="D206" s="7"/>
      <c r="G206" s="20"/>
      <c r="K206" s="6"/>
    </row>
    <row r="207">
      <c r="B207" s="6"/>
      <c r="D207" s="7"/>
      <c r="G207" s="20"/>
      <c r="K207" s="6"/>
    </row>
    <row r="208">
      <c r="B208" s="6"/>
      <c r="D208" s="7"/>
      <c r="G208" s="20"/>
      <c r="K208" s="6"/>
    </row>
    <row r="209">
      <c r="B209" s="6"/>
      <c r="D209" s="7"/>
      <c r="G209" s="20"/>
      <c r="K209" s="6"/>
    </row>
    <row r="210">
      <c r="B210" s="6"/>
      <c r="D210" s="7"/>
      <c r="G210" s="20"/>
      <c r="K210" s="6"/>
    </row>
    <row r="211">
      <c r="B211" s="6"/>
      <c r="D211" s="7"/>
      <c r="G211" s="20"/>
      <c r="K211" s="6"/>
    </row>
    <row r="212">
      <c r="B212" s="6"/>
      <c r="D212" s="7"/>
      <c r="G212" s="20"/>
      <c r="K212" s="6"/>
    </row>
    <row r="213">
      <c r="B213" s="6"/>
      <c r="D213" s="7"/>
      <c r="G213" s="20"/>
      <c r="K213" s="6"/>
    </row>
    <row r="214">
      <c r="B214" s="6"/>
      <c r="D214" s="7"/>
      <c r="G214" s="20"/>
      <c r="K214" s="6"/>
    </row>
    <row r="215">
      <c r="B215" s="6"/>
      <c r="D215" s="7"/>
      <c r="K215" s="6"/>
    </row>
    <row r="216">
      <c r="B216" s="6"/>
      <c r="D216" s="7"/>
      <c r="K216" s="6"/>
    </row>
    <row r="217">
      <c r="B217" s="6"/>
      <c r="D217" s="7"/>
      <c r="K217" s="6"/>
    </row>
    <row r="218">
      <c r="B218" s="6"/>
      <c r="D218" s="7"/>
      <c r="K218" s="6"/>
    </row>
    <row r="219">
      <c r="B219" s="6"/>
      <c r="D219" s="7"/>
      <c r="K219" s="6"/>
    </row>
    <row r="220">
      <c r="B220" s="6"/>
      <c r="D220" s="7"/>
      <c r="K220" s="6"/>
    </row>
    <row r="221">
      <c r="B221" s="6"/>
      <c r="D221" s="7"/>
      <c r="K221" s="6"/>
    </row>
    <row r="222">
      <c r="B222" s="6"/>
      <c r="D222" s="7"/>
      <c r="K222" s="6"/>
    </row>
    <row r="223">
      <c r="B223" s="6"/>
      <c r="D223" s="7"/>
      <c r="K223" s="6"/>
    </row>
    <row r="224">
      <c r="B224" s="6"/>
      <c r="D224" s="7"/>
      <c r="K224" s="6"/>
    </row>
    <row r="225">
      <c r="B225" s="6"/>
      <c r="D225" s="7"/>
      <c r="K225" s="6"/>
    </row>
    <row r="226">
      <c r="B226" s="6"/>
      <c r="D226" s="7"/>
      <c r="K226" s="6"/>
    </row>
    <row r="227">
      <c r="B227" s="6"/>
      <c r="D227" s="7"/>
      <c r="K227" s="6"/>
    </row>
    <row r="228">
      <c r="B228" s="6"/>
      <c r="D228" s="7"/>
      <c r="K228" s="6"/>
    </row>
    <row r="229">
      <c r="B229" s="6"/>
      <c r="D229" s="7"/>
      <c r="K229" s="6"/>
    </row>
    <row r="230">
      <c r="B230" s="6"/>
      <c r="D230" s="7"/>
      <c r="K230" s="6"/>
    </row>
    <row r="231">
      <c r="B231" s="6"/>
      <c r="D231" s="7"/>
      <c r="K231" s="6"/>
    </row>
    <row r="232">
      <c r="B232" s="6"/>
      <c r="D232" s="7"/>
      <c r="K232" s="6"/>
    </row>
    <row r="233">
      <c r="B233" s="6"/>
      <c r="D233" s="7"/>
      <c r="K233" s="6"/>
    </row>
    <row r="234">
      <c r="B234" s="6"/>
      <c r="D234" s="7"/>
      <c r="K234" s="6"/>
    </row>
    <row r="235">
      <c r="B235" s="6"/>
      <c r="D235" s="7"/>
      <c r="K235" s="6"/>
    </row>
    <row r="236">
      <c r="B236" s="6"/>
      <c r="D236" s="7"/>
      <c r="K236" s="6"/>
    </row>
    <row r="237">
      <c r="B237" s="6"/>
      <c r="D237" s="7"/>
      <c r="K237" s="6"/>
    </row>
    <row r="238">
      <c r="B238" s="6"/>
      <c r="D238" s="7"/>
      <c r="K238" s="6"/>
    </row>
    <row r="239">
      <c r="B239" s="6"/>
      <c r="D239" s="7"/>
      <c r="K239" s="6"/>
    </row>
    <row r="240">
      <c r="B240" s="6"/>
      <c r="D240" s="7"/>
      <c r="K240" s="6"/>
    </row>
    <row r="241">
      <c r="B241" s="6"/>
      <c r="D241" s="7"/>
      <c r="K241" s="6"/>
    </row>
    <row r="242">
      <c r="B242" s="6"/>
      <c r="D242" s="7"/>
      <c r="K242" s="6"/>
    </row>
    <row r="243">
      <c r="B243" s="6"/>
      <c r="D243" s="7"/>
      <c r="K243" s="6"/>
    </row>
    <row r="244">
      <c r="B244" s="6"/>
      <c r="D244" s="7"/>
      <c r="K244" s="6"/>
    </row>
    <row r="245">
      <c r="B245" s="6"/>
      <c r="D245" s="7"/>
      <c r="K245" s="6"/>
    </row>
    <row r="246">
      <c r="B246" s="6"/>
      <c r="D246" s="7"/>
      <c r="K246" s="6"/>
    </row>
    <row r="247">
      <c r="B247" s="6"/>
      <c r="D247" s="7"/>
      <c r="K247" s="6"/>
    </row>
    <row r="248">
      <c r="B248" s="6"/>
      <c r="D248" s="7"/>
      <c r="K248" s="6"/>
    </row>
    <row r="249">
      <c r="B249" s="6"/>
      <c r="D249" s="7"/>
      <c r="K249" s="6"/>
    </row>
    <row r="250">
      <c r="B250" s="6"/>
      <c r="D250" s="7"/>
      <c r="K250" s="6"/>
    </row>
    <row r="251">
      <c r="B251" s="6"/>
      <c r="D251" s="7"/>
      <c r="K251" s="6"/>
    </row>
    <row r="252">
      <c r="B252" s="6"/>
      <c r="D252" s="7"/>
      <c r="K252" s="6"/>
    </row>
    <row r="253">
      <c r="B253" s="6"/>
      <c r="D253" s="7"/>
      <c r="K253" s="6"/>
    </row>
    <row r="254">
      <c r="B254" s="6"/>
      <c r="D254" s="7"/>
      <c r="K254" s="6"/>
    </row>
    <row r="255">
      <c r="B255" s="6"/>
      <c r="D255" s="7"/>
      <c r="K255" s="6"/>
    </row>
    <row r="256">
      <c r="B256" s="6"/>
      <c r="D256" s="7"/>
      <c r="K256" s="6"/>
    </row>
    <row r="257">
      <c r="B257" s="6"/>
      <c r="D257" s="7"/>
      <c r="K257" s="6"/>
    </row>
    <row r="258">
      <c r="B258" s="6"/>
      <c r="D258" s="7"/>
      <c r="K258" s="6"/>
    </row>
    <row r="259">
      <c r="B259" s="6"/>
      <c r="D259" s="7"/>
      <c r="K259" s="6"/>
    </row>
    <row r="260">
      <c r="B260" s="6"/>
      <c r="D260" s="7"/>
      <c r="K260" s="6"/>
    </row>
    <row r="261">
      <c r="B261" s="6"/>
      <c r="D261" s="7"/>
      <c r="K261" s="6"/>
    </row>
    <row r="262">
      <c r="B262" s="6"/>
      <c r="D262" s="7"/>
      <c r="K262" s="6"/>
    </row>
    <row r="263">
      <c r="B263" s="6"/>
      <c r="D263" s="7"/>
      <c r="K263" s="6"/>
    </row>
    <row r="264">
      <c r="B264" s="6"/>
      <c r="D264" s="7"/>
      <c r="K264" s="6"/>
    </row>
    <row r="265">
      <c r="B265" s="6"/>
      <c r="D265" s="7"/>
      <c r="K265" s="6"/>
    </row>
    <row r="266">
      <c r="B266" s="6"/>
      <c r="D266" s="7"/>
      <c r="K266" s="6"/>
    </row>
    <row r="267">
      <c r="B267" s="6"/>
      <c r="D267" s="7"/>
      <c r="K267" s="6"/>
    </row>
    <row r="268">
      <c r="B268" s="6"/>
      <c r="D268" s="7"/>
      <c r="K268" s="6"/>
    </row>
    <row r="269">
      <c r="B269" s="6"/>
      <c r="D269" s="7"/>
      <c r="K269" s="6"/>
    </row>
    <row r="270">
      <c r="B270" s="6"/>
      <c r="D270" s="7"/>
      <c r="K270" s="6"/>
    </row>
    <row r="271">
      <c r="B271" s="6"/>
      <c r="D271" s="7"/>
      <c r="K271" s="6"/>
    </row>
    <row r="272">
      <c r="B272" s="6"/>
      <c r="D272" s="7"/>
      <c r="K272" s="6"/>
    </row>
    <row r="273">
      <c r="B273" s="6"/>
      <c r="D273" s="7"/>
      <c r="K273" s="6"/>
    </row>
    <row r="274">
      <c r="B274" s="6"/>
      <c r="D274" s="7"/>
      <c r="K274" s="6"/>
    </row>
    <row r="275">
      <c r="B275" s="6"/>
      <c r="D275" s="7"/>
      <c r="K275" s="6"/>
    </row>
    <row r="276">
      <c r="B276" s="6"/>
      <c r="D276" s="7"/>
      <c r="K276" s="6"/>
    </row>
    <row r="277">
      <c r="B277" s="6"/>
      <c r="D277" s="7"/>
      <c r="K277" s="6"/>
    </row>
    <row r="278">
      <c r="B278" s="6"/>
      <c r="D278" s="7"/>
      <c r="K278" s="6"/>
    </row>
    <row r="279">
      <c r="B279" s="6"/>
      <c r="D279" s="7"/>
      <c r="K279" s="6"/>
    </row>
    <row r="280">
      <c r="B280" s="6"/>
      <c r="D280" s="7"/>
      <c r="K280" s="6"/>
    </row>
    <row r="281">
      <c r="B281" s="6"/>
      <c r="D281" s="7"/>
      <c r="K281" s="6"/>
    </row>
    <row r="282">
      <c r="B282" s="6"/>
      <c r="D282" s="7"/>
      <c r="K282" s="6"/>
    </row>
    <row r="283">
      <c r="B283" s="6"/>
      <c r="D283" s="7"/>
      <c r="K283" s="6"/>
    </row>
    <row r="284">
      <c r="B284" s="6"/>
      <c r="D284" s="7"/>
      <c r="K284" s="6"/>
    </row>
    <row r="285">
      <c r="B285" s="6"/>
      <c r="D285" s="7"/>
      <c r="K285" s="6"/>
    </row>
    <row r="286">
      <c r="B286" s="6"/>
      <c r="D286" s="7"/>
      <c r="K286" s="6"/>
    </row>
    <row r="287">
      <c r="B287" s="6"/>
      <c r="D287" s="7"/>
      <c r="K287" s="6"/>
    </row>
    <row r="288">
      <c r="B288" s="6"/>
      <c r="D288" s="7"/>
      <c r="K288" s="6"/>
    </row>
    <row r="289">
      <c r="B289" s="6"/>
      <c r="D289" s="7"/>
      <c r="K289" s="6"/>
    </row>
    <row r="290">
      <c r="B290" s="6"/>
      <c r="D290" s="7"/>
      <c r="K290" s="6"/>
    </row>
    <row r="291">
      <c r="B291" s="6"/>
      <c r="D291" s="7"/>
      <c r="K291" s="6"/>
    </row>
    <row r="292">
      <c r="B292" s="6"/>
      <c r="D292" s="7"/>
      <c r="K292" s="6"/>
    </row>
    <row r="293">
      <c r="B293" s="6"/>
      <c r="D293" s="7"/>
      <c r="K293" s="6"/>
    </row>
    <row r="294">
      <c r="B294" s="6"/>
      <c r="D294" s="7"/>
      <c r="K294" s="6"/>
    </row>
    <row r="295">
      <c r="B295" s="6"/>
      <c r="D295" s="7"/>
      <c r="K295" s="6"/>
    </row>
    <row r="296">
      <c r="B296" s="6"/>
      <c r="D296" s="7"/>
      <c r="K296" s="6"/>
    </row>
    <row r="297">
      <c r="B297" s="6"/>
      <c r="D297" s="7"/>
      <c r="K297" s="6"/>
    </row>
    <row r="298">
      <c r="B298" s="6"/>
      <c r="D298" s="7"/>
      <c r="K298" s="6"/>
    </row>
    <row r="299">
      <c r="B299" s="6"/>
      <c r="D299" s="7"/>
      <c r="K299" s="6"/>
    </row>
    <row r="300">
      <c r="B300" s="6"/>
      <c r="D300" s="7"/>
      <c r="K300" s="6"/>
    </row>
    <row r="301">
      <c r="B301" s="6"/>
      <c r="D301" s="7"/>
      <c r="K301" s="6"/>
    </row>
    <row r="302">
      <c r="B302" s="6"/>
      <c r="D302" s="7"/>
      <c r="K302" s="6"/>
    </row>
    <row r="303">
      <c r="B303" s="6"/>
      <c r="D303" s="7"/>
      <c r="K303" s="6"/>
    </row>
    <row r="304">
      <c r="B304" s="6"/>
      <c r="D304" s="7"/>
      <c r="K304" s="6"/>
    </row>
    <row r="305">
      <c r="B305" s="6"/>
      <c r="D305" s="7"/>
      <c r="K305" s="6"/>
    </row>
    <row r="306">
      <c r="B306" s="6"/>
      <c r="D306" s="7"/>
      <c r="K306" s="6"/>
    </row>
    <row r="307">
      <c r="B307" s="6"/>
      <c r="D307" s="7"/>
      <c r="K307" s="6"/>
    </row>
    <row r="308">
      <c r="B308" s="6"/>
      <c r="D308" s="7"/>
      <c r="K308" s="6"/>
    </row>
    <row r="309">
      <c r="B309" s="6"/>
      <c r="D309" s="7"/>
      <c r="K309" s="6"/>
    </row>
    <row r="310">
      <c r="B310" s="6"/>
      <c r="D310" s="7"/>
      <c r="K310" s="6"/>
    </row>
    <row r="311">
      <c r="B311" s="6"/>
      <c r="D311" s="7"/>
      <c r="K311" s="6"/>
    </row>
    <row r="312">
      <c r="B312" s="6"/>
      <c r="D312" s="7"/>
      <c r="K312" s="6"/>
    </row>
    <row r="313">
      <c r="B313" s="6"/>
      <c r="D313" s="7"/>
      <c r="K313" s="6"/>
    </row>
    <row r="314">
      <c r="B314" s="6"/>
      <c r="D314" s="7"/>
      <c r="K314" s="6"/>
    </row>
    <row r="315">
      <c r="B315" s="6"/>
      <c r="D315" s="7"/>
      <c r="K315" s="6"/>
    </row>
    <row r="316">
      <c r="B316" s="6"/>
      <c r="D316" s="7"/>
      <c r="K316" s="6"/>
    </row>
    <row r="317">
      <c r="B317" s="6"/>
      <c r="D317" s="7"/>
      <c r="K317" s="6"/>
    </row>
    <row r="318">
      <c r="B318" s="6"/>
      <c r="D318" s="7"/>
      <c r="K318" s="6"/>
    </row>
    <row r="319">
      <c r="B319" s="6"/>
      <c r="D319" s="7"/>
      <c r="K319" s="6"/>
    </row>
    <row r="320">
      <c r="B320" s="6"/>
      <c r="D320" s="7"/>
      <c r="K320" s="6"/>
    </row>
    <row r="321">
      <c r="B321" s="6"/>
      <c r="D321" s="7"/>
      <c r="K321" s="6"/>
    </row>
    <row r="322">
      <c r="B322" s="6"/>
      <c r="D322" s="7"/>
      <c r="K322" s="6"/>
    </row>
    <row r="323">
      <c r="B323" s="6"/>
      <c r="D323" s="7"/>
      <c r="K323" s="6"/>
    </row>
    <row r="324">
      <c r="B324" s="6"/>
      <c r="D324" s="7"/>
      <c r="K324" s="6"/>
    </row>
    <row r="325">
      <c r="B325" s="6"/>
      <c r="D325" s="7"/>
      <c r="K325" s="6"/>
    </row>
    <row r="326">
      <c r="B326" s="6"/>
      <c r="D326" s="7"/>
      <c r="K326" s="6"/>
    </row>
    <row r="327">
      <c r="B327" s="6"/>
      <c r="D327" s="7"/>
      <c r="K327" s="6"/>
    </row>
    <row r="328">
      <c r="B328" s="6"/>
      <c r="D328" s="7"/>
      <c r="K328" s="6"/>
    </row>
    <row r="329">
      <c r="B329" s="6"/>
      <c r="D329" s="7"/>
      <c r="K329" s="6"/>
    </row>
    <row r="330">
      <c r="B330" s="6"/>
      <c r="D330" s="7"/>
      <c r="K330" s="6"/>
    </row>
    <row r="331">
      <c r="B331" s="6"/>
      <c r="D331" s="7"/>
      <c r="K331" s="6"/>
    </row>
    <row r="332">
      <c r="B332" s="6"/>
      <c r="D332" s="7"/>
      <c r="K332" s="6"/>
    </row>
    <row r="333">
      <c r="B333" s="6"/>
      <c r="D333" s="7"/>
      <c r="K333" s="6"/>
    </row>
    <row r="334">
      <c r="B334" s="6"/>
      <c r="D334" s="7"/>
      <c r="K334" s="6"/>
    </row>
    <row r="335">
      <c r="B335" s="6"/>
      <c r="D335" s="7"/>
      <c r="K335" s="6"/>
    </row>
    <row r="336">
      <c r="B336" s="6"/>
      <c r="D336" s="7"/>
      <c r="K336" s="6"/>
    </row>
    <row r="337">
      <c r="B337" s="6"/>
      <c r="D337" s="7"/>
      <c r="K337" s="6"/>
    </row>
    <row r="338">
      <c r="B338" s="6"/>
      <c r="D338" s="7"/>
      <c r="K338" s="6"/>
    </row>
    <row r="339">
      <c r="B339" s="6"/>
      <c r="D339" s="7"/>
      <c r="K339" s="6"/>
    </row>
    <row r="340">
      <c r="B340" s="6"/>
      <c r="D340" s="7"/>
      <c r="K340" s="6"/>
    </row>
    <row r="341">
      <c r="B341" s="6"/>
      <c r="D341" s="7"/>
      <c r="K341" s="6"/>
    </row>
    <row r="342">
      <c r="B342" s="6"/>
      <c r="D342" s="7"/>
      <c r="K342" s="6"/>
    </row>
    <row r="343">
      <c r="B343" s="6"/>
      <c r="D343" s="7"/>
      <c r="K343" s="6"/>
    </row>
    <row r="344">
      <c r="B344" s="6"/>
      <c r="D344" s="7"/>
      <c r="K344" s="6"/>
    </row>
    <row r="345">
      <c r="B345" s="6"/>
      <c r="D345" s="7"/>
      <c r="K345" s="6"/>
    </row>
    <row r="346">
      <c r="B346" s="6"/>
      <c r="D346" s="7"/>
      <c r="K346" s="6"/>
    </row>
    <row r="347">
      <c r="B347" s="6"/>
      <c r="D347" s="7"/>
      <c r="K347" s="6"/>
    </row>
    <row r="348">
      <c r="B348" s="6"/>
      <c r="D348" s="7"/>
      <c r="K348" s="6"/>
    </row>
    <row r="349">
      <c r="B349" s="6"/>
      <c r="D349" s="7"/>
      <c r="K349" s="6"/>
    </row>
    <row r="350">
      <c r="B350" s="6"/>
      <c r="D350" s="7"/>
      <c r="K350" s="6"/>
    </row>
    <row r="351">
      <c r="B351" s="6"/>
      <c r="D351" s="7"/>
      <c r="K351" s="6"/>
    </row>
    <row r="352">
      <c r="B352" s="6"/>
      <c r="D352" s="7"/>
      <c r="K352" s="6"/>
    </row>
    <row r="353">
      <c r="B353" s="6"/>
      <c r="D353" s="7"/>
      <c r="K353" s="6"/>
    </row>
    <row r="354">
      <c r="B354" s="6"/>
      <c r="D354" s="7"/>
      <c r="K354" s="6"/>
    </row>
    <row r="355">
      <c r="B355" s="6"/>
      <c r="D355" s="7"/>
      <c r="K355" s="6"/>
    </row>
    <row r="356">
      <c r="B356" s="6"/>
      <c r="D356" s="7"/>
      <c r="K356" s="6"/>
    </row>
    <row r="357">
      <c r="B357" s="6"/>
      <c r="D357" s="7"/>
      <c r="K357" s="6"/>
    </row>
    <row r="358">
      <c r="B358" s="6"/>
      <c r="D358" s="7"/>
      <c r="K358" s="6"/>
    </row>
    <row r="359">
      <c r="B359" s="6"/>
      <c r="D359" s="7"/>
      <c r="K359" s="6"/>
    </row>
    <row r="360">
      <c r="B360" s="6"/>
      <c r="D360" s="7"/>
      <c r="K360" s="6"/>
    </row>
    <row r="361">
      <c r="B361" s="6"/>
      <c r="D361" s="7"/>
      <c r="K361" s="6"/>
    </row>
    <row r="362">
      <c r="B362" s="6"/>
      <c r="D362" s="7"/>
      <c r="K362" s="6"/>
    </row>
    <row r="363">
      <c r="B363" s="6"/>
      <c r="D363" s="7"/>
      <c r="K363" s="6"/>
    </row>
    <row r="364">
      <c r="B364" s="6"/>
      <c r="D364" s="7"/>
      <c r="K364" s="6"/>
    </row>
    <row r="365">
      <c r="B365" s="6"/>
      <c r="D365" s="7"/>
      <c r="K365" s="6"/>
    </row>
    <row r="366">
      <c r="B366" s="6"/>
      <c r="D366" s="7"/>
      <c r="K366" s="6"/>
    </row>
    <row r="367">
      <c r="B367" s="6"/>
      <c r="D367" s="7"/>
      <c r="K367" s="6"/>
    </row>
    <row r="368">
      <c r="B368" s="6"/>
      <c r="D368" s="7"/>
      <c r="K368" s="6"/>
    </row>
    <row r="369">
      <c r="B369" s="6"/>
      <c r="D369" s="7"/>
      <c r="K369" s="6"/>
    </row>
    <row r="370">
      <c r="B370" s="6"/>
      <c r="D370" s="7"/>
      <c r="K370" s="6"/>
    </row>
    <row r="371">
      <c r="B371" s="6"/>
      <c r="D371" s="7"/>
      <c r="K371" s="6"/>
    </row>
    <row r="372">
      <c r="B372" s="6"/>
      <c r="D372" s="7"/>
      <c r="K372" s="6"/>
    </row>
    <row r="373">
      <c r="B373" s="6"/>
      <c r="D373" s="7"/>
      <c r="K373" s="6"/>
    </row>
    <row r="374">
      <c r="B374" s="6"/>
      <c r="D374" s="7"/>
      <c r="K374" s="6"/>
    </row>
    <row r="375">
      <c r="B375" s="6"/>
      <c r="D375" s="7"/>
      <c r="K375" s="6"/>
    </row>
    <row r="376">
      <c r="B376" s="6"/>
      <c r="D376" s="7"/>
      <c r="K376" s="6"/>
    </row>
    <row r="377">
      <c r="B377" s="6"/>
      <c r="D377" s="7"/>
      <c r="K377" s="6"/>
    </row>
    <row r="378">
      <c r="B378" s="6"/>
      <c r="D378" s="7"/>
      <c r="K378" s="6"/>
    </row>
    <row r="379">
      <c r="B379" s="6"/>
      <c r="D379" s="7"/>
      <c r="K379" s="6"/>
    </row>
    <row r="380">
      <c r="B380" s="6"/>
      <c r="D380" s="7"/>
      <c r="K380" s="6"/>
    </row>
    <row r="381">
      <c r="B381" s="6"/>
      <c r="D381" s="7"/>
      <c r="K381" s="6"/>
    </row>
    <row r="382">
      <c r="B382" s="6"/>
      <c r="D382" s="7"/>
      <c r="K382" s="6"/>
    </row>
    <row r="383">
      <c r="B383" s="6"/>
      <c r="D383" s="7"/>
      <c r="K383" s="6"/>
    </row>
    <row r="384">
      <c r="B384" s="6"/>
      <c r="D384" s="7"/>
      <c r="K384" s="6"/>
    </row>
    <row r="385">
      <c r="B385" s="6"/>
      <c r="D385" s="7"/>
      <c r="K385" s="6"/>
    </row>
    <row r="386">
      <c r="B386" s="6"/>
      <c r="D386" s="7"/>
      <c r="K386" s="6"/>
    </row>
    <row r="387">
      <c r="B387" s="6"/>
      <c r="D387" s="7"/>
      <c r="K387" s="6"/>
    </row>
    <row r="388">
      <c r="B388" s="6"/>
      <c r="D388" s="7"/>
      <c r="K388" s="6"/>
    </row>
    <row r="389">
      <c r="B389" s="6"/>
      <c r="D389" s="7"/>
      <c r="K389" s="6"/>
    </row>
    <row r="390">
      <c r="B390" s="6"/>
      <c r="D390" s="7"/>
      <c r="K390" s="6"/>
    </row>
    <row r="391">
      <c r="B391" s="6"/>
      <c r="D391" s="7"/>
      <c r="K391" s="6"/>
    </row>
    <row r="392">
      <c r="B392" s="6"/>
      <c r="D392" s="7"/>
      <c r="K392" s="6"/>
    </row>
    <row r="393">
      <c r="B393" s="6"/>
      <c r="D393" s="7"/>
      <c r="K393" s="6"/>
    </row>
    <row r="394">
      <c r="B394" s="6"/>
      <c r="D394" s="7"/>
      <c r="K394" s="6"/>
    </row>
    <row r="395">
      <c r="B395" s="6"/>
      <c r="D395" s="7"/>
      <c r="K395" s="6"/>
    </row>
    <row r="396">
      <c r="B396" s="6"/>
      <c r="D396" s="7"/>
      <c r="K396" s="6"/>
    </row>
    <row r="397">
      <c r="B397" s="6"/>
      <c r="D397" s="7"/>
      <c r="K397" s="6"/>
    </row>
    <row r="398">
      <c r="B398" s="6"/>
      <c r="D398" s="7"/>
      <c r="K398" s="6"/>
    </row>
    <row r="399">
      <c r="B399" s="6"/>
      <c r="D399" s="7"/>
      <c r="K399" s="6"/>
    </row>
    <row r="400">
      <c r="B400" s="6"/>
      <c r="D400" s="7"/>
      <c r="K400" s="6"/>
    </row>
    <row r="401">
      <c r="B401" s="6"/>
      <c r="D401" s="7"/>
      <c r="K401" s="6"/>
    </row>
    <row r="402">
      <c r="B402" s="6"/>
      <c r="D402" s="7"/>
      <c r="K402" s="6"/>
    </row>
    <row r="403">
      <c r="B403" s="6"/>
      <c r="D403" s="7"/>
      <c r="K403" s="6"/>
    </row>
    <row r="404">
      <c r="B404" s="6"/>
      <c r="D404" s="7"/>
      <c r="K404" s="6"/>
    </row>
    <row r="405">
      <c r="B405" s="6"/>
      <c r="D405" s="7"/>
      <c r="K405" s="6"/>
    </row>
    <row r="406">
      <c r="B406" s="6"/>
      <c r="D406" s="7"/>
      <c r="K406" s="6"/>
    </row>
    <row r="407">
      <c r="B407" s="6"/>
      <c r="D407" s="7"/>
      <c r="K407" s="6"/>
    </row>
    <row r="408">
      <c r="B408" s="6"/>
      <c r="D408" s="7"/>
      <c r="K408" s="6"/>
    </row>
    <row r="409">
      <c r="B409" s="6"/>
      <c r="D409" s="7"/>
      <c r="K409" s="6"/>
    </row>
    <row r="410">
      <c r="B410" s="6"/>
      <c r="D410" s="7"/>
      <c r="K410" s="6"/>
    </row>
    <row r="411">
      <c r="B411" s="6"/>
      <c r="D411" s="7"/>
      <c r="K411" s="6"/>
    </row>
    <row r="412">
      <c r="B412" s="6"/>
      <c r="D412" s="7"/>
      <c r="K412" s="6"/>
    </row>
    <row r="413">
      <c r="B413" s="6"/>
      <c r="D413" s="7"/>
      <c r="K413" s="6"/>
    </row>
    <row r="414">
      <c r="B414" s="6"/>
      <c r="D414" s="7"/>
      <c r="K414" s="6"/>
    </row>
    <row r="415">
      <c r="B415" s="6"/>
      <c r="D415" s="7"/>
      <c r="K415" s="6"/>
    </row>
    <row r="416">
      <c r="B416" s="6"/>
      <c r="D416" s="7"/>
      <c r="K416" s="6"/>
    </row>
    <row r="417">
      <c r="B417" s="6"/>
      <c r="D417" s="7"/>
      <c r="K417" s="6"/>
    </row>
    <row r="418">
      <c r="B418" s="6"/>
      <c r="D418" s="7"/>
      <c r="K418" s="6"/>
    </row>
    <row r="419">
      <c r="B419" s="6"/>
      <c r="D419" s="7"/>
      <c r="K419" s="6"/>
    </row>
    <row r="420">
      <c r="B420" s="6"/>
      <c r="D420" s="7"/>
      <c r="K420" s="6"/>
    </row>
    <row r="421">
      <c r="B421" s="6"/>
      <c r="D421" s="7"/>
      <c r="K421" s="6"/>
    </row>
    <row r="422">
      <c r="B422" s="6"/>
      <c r="D422" s="7"/>
      <c r="K422" s="6"/>
    </row>
    <row r="423">
      <c r="B423" s="6"/>
      <c r="D423" s="7"/>
      <c r="K423" s="6"/>
    </row>
    <row r="424">
      <c r="B424" s="6"/>
      <c r="D424" s="7"/>
      <c r="K424" s="6"/>
    </row>
    <row r="425">
      <c r="B425" s="6"/>
      <c r="D425" s="7"/>
      <c r="K425" s="6"/>
    </row>
    <row r="426">
      <c r="B426" s="6"/>
      <c r="D426" s="7"/>
      <c r="K426" s="6"/>
    </row>
    <row r="427">
      <c r="B427" s="6"/>
      <c r="D427" s="7"/>
      <c r="K427" s="6"/>
    </row>
    <row r="428">
      <c r="B428" s="6"/>
      <c r="D428" s="7"/>
      <c r="K428" s="6"/>
    </row>
    <row r="429">
      <c r="B429" s="6"/>
      <c r="D429" s="7"/>
      <c r="K429" s="6"/>
    </row>
    <row r="430">
      <c r="B430" s="6"/>
      <c r="D430" s="7"/>
      <c r="K430" s="6"/>
    </row>
    <row r="431">
      <c r="B431" s="6"/>
      <c r="D431" s="7"/>
      <c r="K431" s="6"/>
    </row>
    <row r="432">
      <c r="B432" s="6"/>
      <c r="D432" s="7"/>
      <c r="K432" s="6"/>
    </row>
    <row r="433">
      <c r="B433" s="6"/>
      <c r="D433" s="7"/>
      <c r="K433" s="6"/>
    </row>
    <row r="434">
      <c r="B434" s="6"/>
      <c r="D434" s="7"/>
      <c r="K434" s="6"/>
    </row>
    <row r="435">
      <c r="B435" s="6"/>
      <c r="D435" s="7"/>
      <c r="K435" s="6"/>
    </row>
    <row r="436">
      <c r="B436" s="6"/>
      <c r="D436" s="7"/>
      <c r="K436" s="6"/>
    </row>
    <row r="437">
      <c r="B437" s="6"/>
      <c r="D437" s="7"/>
      <c r="K437" s="6"/>
    </row>
    <row r="438">
      <c r="B438" s="6"/>
      <c r="D438" s="7"/>
      <c r="K438" s="6"/>
    </row>
    <row r="439">
      <c r="B439" s="6"/>
      <c r="D439" s="7"/>
      <c r="K439" s="6"/>
    </row>
    <row r="440">
      <c r="B440" s="6"/>
      <c r="D440" s="7"/>
      <c r="K440" s="6"/>
    </row>
    <row r="441">
      <c r="B441" s="6"/>
      <c r="D441" s="7"/>
      <c r="K441" s="6"/>
    </row>
    <row r="442">
      <c r="B442" s="6"/>
      <c r="D442" s="7"/>
      <c r="K442" s="6"/>
    </row>
    <row r="443">
      <c r="B443" s="6"/>
      <c r="D443" s="7"/>
      <c r="K443" s="6"/>
    </row>
    <row r="444">
      <c r="B444" s="6"/>
      <c r="D444" s="7"/>
      <c r="K444" s="6"/>
    </row>
    <row r="445">
      <c r="B445" s="6"/>
      <c r="D445" s="7"/>
      <c r="K445" s="6"/>
    </row>
    <row r="446">
      <c r="B446" s="6"/>
      <c r="D446" s="7"/>
      <c r="K446" s="6"/>
    </row>
    <row r="447">
      <c r="B447" s="6"/>
      <c r="D447" s="7"/>
      <c r="K447" s="6"/>
    </row>
    <row r="448">
      <c r="B448" s="6"/>
      <c r="D448" s="7"/>
      <c r="K448" s="6"/>
    </row>
    <row r="449">
      <c r="B449" s="6"/>
      <c r="D449" s="7"/>
      <c r="K449" s="6"/>
    </row>
    <row r="450">
      <c r="B450" s="6"/>
      <c r="D450" s="7"/>
      <c r="K450" s="6"/>
    </row>
    <row r="451">
      <c r="B451" s="6"/>
      <c r="D451" s="7"/>
      <c r="K451" s="6"/>
    </row>
    <row r="452">
      <c r="B452" s="6"/>
      <c r="D452" s="7"/>
      <c r="K452" s="6"/>
    </row>
    <row r="453">
      <c r="B453" s="6"/>
      <c r="D453" s="7"/>
      <c r="K453" s="6"/>
    </row>
    <row r="454">
      <c r="B454" s="6"/>
      <c r="D454" s="7"/>
      <c r="K454" s="6"/>
    </row>
    <row r="455">
      <c r="B455" s="6"/>
      <c r="D455" s="7"/>
      <c r="K455" s="6"/>
    </row>
    <row r="456">
      <c r="B456" s="6"/>
      <c r="D456" s="7"/>
      <c r="K456" s="6"/>
    </row>
    <row r="457">
      <c r="B457" s="6"/>
      <c r="D457" s="7"/>
      <c r="K457" s="6"/>
    </row>
    <row r="458">
      <c r="B458" s="6"/>
      <c r="D458" s="7"/>
      <c r="K458" s="6"/>
    </row>
    <row r="459">
      <c r="B459" s="6"/>
      <c r="D459" s="7"/>
      <c r="K459" s="6"/>
    </row>
    <row r="460">
      <c r="B460" s="6"/>
      <c r="D460" s="7"/>
      <c r="K460" s="6"/>
    </row>
    <row r="461">
      <c r="B461" s="6"/>
      <c r="D461" s="7"/>
      <c r="K461" s="6"/>
    </row>
    <row r="462">
      <c r="B462" s="6"/>
      <c r="D462" s="7"/>
      <c r="K462" s="6"/>
    </row>
    <row r="463">
      <c r="B463" s="6"/>
      <c r="D463" s="7"/>
      <c r="K463" s="6"/>
    </row>
    <row r="464">
      <c r="B464" s="6"/>
      <c r="D464" s="7"/>
      <c r="K464" s="6"/>
    </row>
    <row r="465">
      <c r="B465" s="6"/>
      <c r="D465" s="7"/>
      <c r="K465" s="6"/>
    </row>
    <row r="466">
      <c r="B466" s="6"/>
      <c r="D466" s="7"/>
      <c r="K466" s="6"/>
    </row>
    <row r="467">
      <c r="B467" s="6"/>
      <c r="D467" s="7"/>
      <c r="K467" s="6"/>
    </row>
    <row r="468">
      <c r="B468" s="6"/>
      <c r="D468" s="7"/>
      <c r="K468" s="6"/>
    </row>
    <row r="469">
      <c r="B469" s="6"/>
      <c r="D469" s="7"/>
      <c r="K469" s="6"/>
    </row>
    <row r="470">
      <c r="B470" s="6"/>
      <c r="D470" s="7"/>
      <c r="K470" s="6"/>
    </row>
    <row r="471">
      <c r="B471" s="6"/>
      <c r="D471" s="7"/>
      <c r="K471" s="6"/>
    </row>
    <row r="472">
      <c r="B472" s="6"/>
      <c r="D472" s="7"/>
      <c r="K472" s="6"/>
    </row>
    <row r="473">
      <c r="B473" s="6"/>
      <c r="D473" s="7"/>
      <c r="K473" s="6"/>
    </row>
    <row r="474">
      <c r="B474" s="6"/>
      <c r="D474" s="7"/>
      <c r="K474" s="6"/>
    </row>
    <row r="475">
      <c r="B475" s="6"/>
      <c r="D475" s="7"/>
      <c r="K475" s="6"/>
    </row>
    <row r="476">
      <c r="B476" s="6"/>
      <c r="D476" s="7"/>
      <c r="K476" s="6"/>
    </row>
    <row r="477">
      <c r="B477" s="6"/>
      <c r="D477" s="7"/>
      <c r="K477" s="6"/>
    </row>
    <row r="478">
      <c r="B478" s="6"/>
      <c r="D478" s="7"/>
      <c r="K478" s="6"/>
    </row>
    <row r="479">
      <c r="B479" s="6"/>
      <c r="D479" s="7"/>
      <c r="K479" s="6"/>
    </row>
    <row r="480">
      <c r="B480" s="6"/>
      <c r="D480" s="7"/>
      <c r="K480" s="6"/>
    </row>
    <row r="481">
      <c r="B481" s="6"/>
      <c r="D481" s="7"/>
      <c r="K481" s="6"/>
    </row>
    <row r="482">
      <c r="B482" s="6"/>
      <c r="D482" s="7"/>
      <c r="K482" s="6"/>
    </row>
    <row r="483">
      <c r="B483" s="6"/>
      <c r="D483" s="7"/>
      <c r="K483" s="6"/>
    </row>
    <row r="484">
      <c r="B484" s="6"/>
      <c r="D484" s="7"/>
      <c r="K484" s="6"/>
    </row>
    <row r="485">
      <c r="B485" s="6"/>
      <c r="D485" s="7"/>
      <c r="K485" s="6"/>
    </row>
    <row r="486">
      <c r="B486" s="6"/>
      <c r="D486" s="7"/>
      <c r="K486" s="6"/>
    </row>
    <row r="487">
      <c r="B487" s="6"/>
      <c r="D487" s="7"/>
      <c r="K487" s="6"/>
    </row>
    <row r="488">
      <c r="B488" s="6"/>
      <c r="D488" s="7"/>
      <c r="K488" s="6"/>
    </row>
    <row r="489">
      <c r="B489" s="6"/>
      <c r="D489" s="7"/>
      <c r="K489" s="6"/>
    </row>
    <row r="490">
      <c r="B490" s="6"/>
      <c r="D490" s="7"/>
      <c r="K490" s="6"/>
    </row>
    <row r="491">
      <c r="B491" s="6"/>
      <c r="D491" s="7"/>
      <c r="K491" s="6"/>
    </row>
    <row r="492">
      <c r="B492" s="6"/>
      <c r="D492" s="7"/>
      <c r="K492" s="6"/>
    </row>
    <row r="493">
      <c r="B493" s="6"/>
      <c r="D493" s="7"/>
      <c r="K493" s="6"/>
    </row>
    <row r="494">
      <c r="B494" s="6"/>
      <c r="D494" s="7"/>
      <c r="K494" s="6"/>
    </row>
    <row r="495">
      <c r="B495" s="6"/>
      <c r="D495" s="7"/>
      <c r="K495" s="6"/>
    </row>
    <row r="496">
      <c r="B496" s="6"/>
      <c r="D496" s="7"/>
      <c r="K496" s="6"/>
    </row>
    <row r="497">
      <c r="B497" s="6"/>
      <c r="D497" s="7"/>
      <c r="K497" s="6"/>
    </row>
    <row r="498">
      <c r="B498" s="6"/>
      <c r="D498" s="7"/>
      <c r="K498" s="6"/>
    </row>
    <row r="499">
      <c r="B499" s="6"/>
      <c r="D499" s="7"/>
      <c r="K499" s="6"/>
    </row>
    <row r="500">
      <c r="B500" s="6"/>
      <c r="D500" s="7"/>
      <c r="K500" s="6"/>
    </row>
    <row r="501">
      <c r="B501" s="6"/>
      <c r="D501" s="7"/>
      <c r="K501" s="6"/>
    </row>
    <row r="502">
      <c r="B502" s="6"/>
      <c r="D502" s="7"/>
      <c r="K502" s="6"/>
    </row>
    <row r="503">
      <c r="B503" s="6"/>
      <c r="D503" s="7"/>
      <c r="K503" s="6"/>
    </row>
    <row r="504">
      <c r="B504" s="6"/>
      <c r="D504" s="7"/>
      <c r="K504" s="6"/>
    </row>
    <row r="505">
      <c r="B505" s="6"/>
      <c r="D505" s="7"/>
      <c r="K505" s="6"/>
    </row>
    <row r="506">
      <c r="B506" s="6"/>
      <c r="D506" s="7"/>
      <c r="K506" s="6"/>
    </row>
    <row r="507">
      <c r="B507" s="6"/>
      <c r="D507" s="7"/>
      <c r="K507" s="6"/>
    </row>
    <row r="508">
      <c r="B508" s="6"/>
      <c r="D508" s="7"/>
      <c r="K508" s="6"/>
    </row>
    <row r="509">
      <c r="B509" s="6"/>
      <c r="D509" s="7"/>
      <c r="K509" s="6"/>
    </row>
    <row r="510">
      <c r="B510" s="6"/>
      <c r="D510" s="7"/>
      <c r="K510" s="6"/>
    </row>
    <row r="511">
      <c r="B511" s="6"/>
      <c r="D511" s="7"/>
      <c r="K511" s="6"/>
    </row>
    <row r="512">
      <c r="B512" s="6"/>
      <c r="D512" s="7"/>
      <c r="K512" s="6"/>
    </row>
    <row r="513">
      <c r="B513" s="6"/>
      <c r="D513" s="7"/>
      <c r="K513" s="6"/>
    </row>
    <row r="514">
      <c r="B514" s="6"/>
      <c r="D514" s="7"/>
      <c r="K514" s="6"/>
    </row>
    <row r="515">
      <c r="B515" s="6"/>
      <c r="D515" s="7"/>
      <c r="K515" s="6"/>
    </row>
    <row r="516">
      <c r="B516" s="6"/>
      <c r="D516" s="7"/>
      <c r="K516" s="6"/>
    </row>
    <row r="517">
      <c r="B517" s="6"/>
      <c r="D517" s="7"/>
      <c r="K517" s="6"/>
    </row>
    <row r="518">
      <c r="B518" s="6"/>
      <c r="D518" s="7"/>
      <c r="K518" s="6"/>
    </row>
    <row r="519">
      <c r="B519" s="6"/>
      <c r="D519" s="7"/>
      <c r="K519" s="6"/>
    </row>
    <row r="520">
      <c r="B520" s="6"/>
      <c r="D520" s="7"/>
      <c r="K520" s="6"/>
    </row>
    <row r="521">
      <c r="B521" s="6"/>
      <c r="D521" s="7"/>
      <c r="K521" s="6"/>
    </row>
    <row r="522">
      <c r="B522" s="6"/>
      <c r="D522" s="7"/>
      <c r="K522" s="6"/>
    </row>
    <row r="523">
      <c r="B523" s="6"/>
      <c r="D523" s="7"/>
      <c r="K523" s="6"/>
    </row>
    <row r="524">
      <c r="B524" s="6"/>
      <c r="D524" s="7"/>
      <c r="K524" s="6"/>
    </row>
    <row r="525">
      <c r="B525" s="6"/>
      <c r="D525" s="7"/>
      <c r="K525" s="6"/>
    </row>
    <row r="526">
      <c r="B526" s="6"/>
      <c r="D526" s="7"/>
      <c r="K526" s="6"/>
    </row>
    <row r="527">
      <c r="B527" s="6"/>
      <c r="D527" s="7"/>
      <c r="K527" s="6"/>
    </row>
    <row r="528">
      <c r="B528" s="6"/>
      <c r="D528" s="7"/>
      <c r="K528" s="6"/>
    </row>
    <row r="529">
      <c r="B529" s="6"/>
      <c r="D529" s="7"/>
      <c r="K529" s="6"/>
    </row>
    <row r="530">
      <c r="B530" s="6"/>
      <c r="D530" s="7"/>
      <c r="K530" s="6"/>
    </row>
    <row r="531">
      <c r="B531" s="6"/>
      <c r="D531" s="7"/>
      <c r="K531" s="6"/>
    </row>
    <row r="532">
      <c r="B532" s="6"/>
      <c r="D532" s="7"/>
      <c r="K532" s="6"/>
    </row>
    <row r="533">
      <c r="B533" s="6"/>
      <c r="D533" s="7"/>
      <c r="K533" s="6"/>
    </row>
    <row r="534">
      <c r="B534" s="6"/>
      <c r="D534" s="7"/>
      <c r="K534" s="6"/>
    </row>
    <row r="535">
      <c r="B535" s="6"/>
      <c r="D535" s="7"/>
      <c r="K535" s="6"/>
    </row>
    <row r="536">
      <c r="B536" s="6"/>
      <c r="D536" s="7"/>
      <c r="K536" s="6"/>
    </row>
    <row r="537">
      <c r="B537" s="6"/>
      <c r="D537" s="7"/>
      <c r="K537" s="6"/>
    </row>
    <row r="538">
      <c r="B538" s="6"/>
      <c r="D538" s="7"/>
      <c r="K538" s="6"/>
    </row>
    <row r="539">
      <c r="B539" s="6"/>
      <c r="D539" s="7"/>
      <c r="K539" s="6"/>
    </row>
    <row r="540">
      <c r="B540" s="6"/>
      <c r="D540" s="7"/>
      <c r="K540" s="6"/>
    </row>
    <row r="541">
      <c r="B541" s="6"/>
      <c r="D541" s="7"/>
      <c r="K541" s="6"/>
    </row>
    <row r="542">
      <c r="B542" s="6"/>
      <c r="D542" s="7"/>
      <c r="K542" s="6"/>
    </row>
    <row r="543">
      <c r="B543" s="6"/>
      <c r="D543" s="7"/>
      <c r="K543" s="6"/>
    </row>
    <row r="544">
      <c r="B544" s="6"/>
      <c r="D544" s="7"/>
      <c r="K544" s="6"/>
    </row>
    <row r="545">
      <c r="B545" s="6"/>
      <c r="D545" s="7"/>
      <c r="K545" s="6"/>
    </row>
    <row r="546">
      <c r="B546" s="6"/>
      <c r="D546" s="7"/>
      <c r="K546" s="6"/>
    </row>
    <row r="547">
      <c r="B547" s="6"/>
      <c r="D547" s="7"/>
      <c r="K547" s="6"/>
    </row>
    <row r="548">
      <c r="B548" s="6"/>
      <c r="D548" s="7"/>
      <c r="K548" s="6"/>
    </row>
    <row r="549">
      <c r="B549" s="6"/>
      <c r="D549" s="7"/>
      <c r="K549" s="6"/>
    </row>
    <row r="550">
      <c r="B550" s="6"/>
      <c r="D550" s="7"/>
      <c r="K550" s="6"/>
    </row>
    <row r="551">
      <c r="B551" s="6"/>
      <c r="D551" s="7"/>
      <c r="K551" s="6"/>
    </row>
    <row r="552">
      <c r="B552" s="6"/>
      <c r="D552" s="7"/>
      <c r="K552" s="6"/>
    </row>
    <row r="553">
      <c r="B553" s="6"/>
      <c r="D553" s="7"/>
      <c r="K553" s="6"/>
    </row>
    <row r="554">
      <c r="B554" s="6"/>
      <c r="D554" s="7"/>
      <c r="K554" s="6"/>
    </row>
    <row r="555">
      <c r="B555" s="6"/>
      <c r="D555" s="7"/>
      <c r="K555" s="6"/>
    </row>
    <row r="556">
      <c r="B556" s="6"/>
      <c r="D556" s="7"/>
      <c r="K556" s="6"/>
    </row>
    <row r="557">
      <c r="B557" s="6"/>
      <c r="D557" s="7"/>
      <c r="K557" s="6"/>
    </row>
    <row r="558">
      <c r="B558" s="6"/>
      <c r="D558" s="7"/>
      <c r="K558" s="6"/>
    </row>
    <row r="559">
      <c r="B559" s="6"/>
      <c r="D559" s="7"/>
      <c r="K559" s="6"/>
    </row>
    <row r="560">
      <c r="B560" s="6"/>
      <c r="D560" s="7"/>
      <c r="K560" s="6"/>
    </row>
    <row r="561">
      <c r="B561" s="6"/>
      <c r="D561" s="7"/>
      <c r="K561" s="6"/>
    </row>
    <row r="562">
      <c r="B562" s="6"/>
      <c r="D562" s="7"/>
      <c r="K562" s="6"/>
    </row>
    <row r="563">
      <c r="B563" s="6"/>
      <c r="D563" s="7"/>
      <c r="K563" s="6"/>
    </row>
    <row r="564">
      <c r="B564" s="6"/>
      <c r="D564" s="7"/>
      <c r="K564" s="6"/>
    </row>
    <row r="565">
      <c r="B565" s="6"/>
      <c r="D565" s="7"/>
      <c r="K565" s="6"/>
    </row>
    <row r="566">
      <c r="B566" s="6"/>
      <c r="D566" s="7"/>
      <c r="K566" s="6"/>
    </row>
    <row r="567">
      <c r="B567" s="6"/>
      <c r="D567" s="7"/>
      <c r="K567" s="6"/>
    </row>
    <row r="568">
      <c r="B568" s="6"/>
      <c r="D568" s="7"/>
      <c r="K568" s="6"/>
    </row>
    <row r="569">
      <c r="B569" s="6"/>
      <c r="D569" s="7"/>
      <c r="K569" s="6"/>
    </row>
    <row r="570">
      <c r="B570" s="6"/>
      <c r="D570" s="7"/>
      <c r="K570" s="6"/>
    </row>
    <row r="571">
      <c r="B571" s="6"/>
      <c r="D571" s="7"/>
      <c r="K571" s="6"/>
    </row>
    <row r="572">
      <c r="B572" s="6"/>
      <c r="D572" s="7"/>
      <c r="K572" s="6"/>
    </row>
    <row r="573">
      <c r="B573" s="6"/>
      <c r="D573" s="7"/>
      <c r="K573" s="6"/>
    </row>
    <row r="574">
      <c r="B574" s="6"/>
      <c r="D574" s="7"/>
      <c r="K574" s="6"/>
    </row>
    <row r="575">
      <c r="B575" s="6"/>
      <c r="D575" s="7"/>
      <c r="K575" s="6"/>
    </row>
    <row r="576">
      <c r="B576" s="6"/>
      <c r="D576" s="7"/>
      <c r="K576" s="6"/>
    </row>
    <row r="577">
      <c r="B577" s="6"/>
      <c r="D577" s="7"/>
      <c r="K577" s="6"/>
    </row>
    <row r="578">
      <c r="B578" s="6"/>
      <c r="D578" s="7"/>
      <c r="K578" s="6"/>
    </row>
    <row r="579">
      <c r="B579" s="6"/>
      <c r="D579" s="7"/>
      <c r="K579" s="6"/>
    </row>
    <row r="580">
      <c r="B580" s="6"/>
      <c r="D580" s="7"/>
      <c r="K580" s="6"/>
    </row>
    <row r="581">
      <c r="B581" s="6"/>
      <c r="D581" s="7"/>
      <c r="K581" s="6"/>
    </row>
    <row r="582">
      <c r="B582" s="6"/>
      <c r="D582" s="7"/>
      <c r="K582" s="6"/>
    </row>
    <row r="583">
      <c r="B583" s="6"/>
      <c r="D583" s="7"/>
      <c r="K583" s="6"/>
    </row>
    <row r="584">
      <c r="B584" s="6"/>
      <c r="D584" s="7"/>
      <c r="K584" s="6"/>
    </row>
    <row r="585">
      <c r="B585" s="6"/>
      <c r="D585" s="7"/>
      <c r="K585" s="6"/>
    </row>
    <row r="586">
      <c r="B586" s="6"/>
      <c r="D586" s="7"/>
      <c r="K586" s="6"/>
    </row>
    <row r="587">
      <c r="B587" s="6"/>
      <c r="D587" s="7"/>
      <c r="K587" s="6"/>
    </row>
    <row r="588">
      <c r="B588" s="6"/>
      <c r="D588" s="7"/>
      <c r="K588" s="6"/>
    </row>
    <row r="589">
      <c r="B589" s="6"/>
      <c r="D589" s="7"/>
      <c r="K589" s="6"/>
    </row>
    <row r="590">
      <c r="B590" s="6"/>
      <c r="D590" s="7"/>
      <c r="K590" s="6"/>
    </row>
    <row r="591">
      <c r="B591" s="6"/>
      <c r="D591" s="7"/>
      <c r="K591" s="6"/>
    </row>
    <row r="592">
      <c r="B592" s="6"/>
      <c r="D592" s="7"/>
      <c r="K592" s="6"/>
    </row>
    <row r="593">
      <c r="B593" s="6"/>
      <c r="D593" s="7"/>
      <c r="K593" s="6"/>
    </row>
    <row r="594">
      <c r="B594" s="6"/>
      <c r="D594" s="7"/>
      <c r="K594" s="6"/>
    </row>
    <row r="595">
      <c r="B595" s="6"/>
      <c r="D595" s="7"/>
      <c r="K595" s="6"/>
    </row>
    <row r="596">
      <c r="B596" s="6"/>
      <c r="D596" s="7"/>
      <c r="K596" s="6"/>
    </row>
    <row r="597">
      <c r="B597" s="6"/>
      <c r="D597" s="7"/>
      <c r="K597" s="6"/>
    </row>
    <row r="598">
      <c r="B598" s="6"/>
      <c r="D598" s="7"/>
      <c r="K598" s="6"/>
    </row>
    <row r="599">
      <c r="B599" s="6"/>
      <c r="D599" s="7"/>
      <c r="K599" s="6"/>
    </row>
    <row r="600">
      <c r="B600" s="6"/>
      <c r="D600" s="7"/>
      <c r="K600" s="6"/>
    </row>
    <row r="601">
      <c r="B601" s="6"/>
      <c r="D601" s="7"/>
      <c r="K601" s="6"/>
    </row>
    <row r="602">
      <c r="B602" s="6"/>
      <c r="D602" s="7"/>
      <c r="K602" s="6"/>
    </row>
    <row r="603">
      <c r="B603" s="6"/>
      <c r="D603" s="7"/>
      <c r="K603" s="6"/>
    </row>
    <row r="604">
      <c r="B604" s="6"/>
      <c r="D604" s="7"/>
      <c r="K604" s="6"/>
    </row>
    <row r="605">
      <c r="B605" s="6"/>
      <c r="D605" s="7"/>
      <c r="K605" s="6"/>
    </row>
    <row r="606">
      <c r="B606" s="6"/>
      <c r="D606" s="7"/>
      <c r="K606" s="6"/>
    </row>
    <row r="607">
      <c r="B607" s="6"/>
      <c r="D607" s="7"/>
      <c r="K607" s="6"/>
    </row>
    <row r="608">
      <c r="B608" s="6"/>
      <c r="D608" s="7"/>
      <c r="K608" s="6"/>
    </row>
    <row r="609">
      <c r="B609" s="6"/>
      <c r="D609" s="7"/>
      <c r="K609" s="6"/>
    </row>
    <row r="610">
      <c r="B610" s="6"/>
      <c r="D610" s="7"/>
      <c r="K610" s="6"/>
    </row>
    <row r="611">
      <c r="B611" s="6"/>
      <c r="D611" s="7"/>
      <c r="K611" s="6"/>
    </row>
    <row r="612">
      <c r="B612" s="6"/>
      <c r="D612" s="7"/>
      <c r="K612" s="6"/>
    </row>
    <row r="613">
      <c r="B613" s="6"/>
      <c r="D613" s="7"/>
      <c r="K613" s="6"/>
    </row>
    <row r="614">
      <c r="B614" s="6"/>
      <c r="D614" s="7"/>
      <c r="K614" s="6"/>
    </row>
    <row r="615">
      <c r="B615" s="6"/>
      <c r="D615" s="7"/>
      <c r="K615" s="6"/>
    </row>
    <row r="616">
      <c r="B616" s="6"/>
      <c r="D616" s="7"/>
      <c r="K616" s="6"/>
    </row>
    <row r="617">
      <c r="B617" s="6"/>
      <c r="D617" s="7"/>
      <c r="K617" s="6"/>
    </row>
    <row r="618">
      <c r="B618" s="6"/>
      <c r="D618" s="7"/>
      <c r="K618" s="6"/>
    </row>
    <row r="619">
      <c r="B619" s="6"/>
      <c r="D619" s="7"/>
      <c r="K619" s="6"/>
    </row>
    <row r="620">
      <c r="B620" s="6"/>
      <c r="D620" s="7"/>
      <c r="K620" s="6"/>
    </row>
    <row r="621">
      <c r="B621" s="6"/>
      <c r="D621" s="7"/>
      <c r="K621" s="6"/>
    </row>
    <row r="622">
      <c r="B622" s="6"/>
      <c r="D622" s="7"/>
      <c r="K622" s="6"/>
    </row>
    <row r="623">
      <c r="B623" s="6"/>
      <c r="D623" s="7"/>
      <c r="K623" s="6"/>
    </row>
    <row r="624">
      <c r="B624" s="6"/>
      <c r="D624" s="7"/>
      <c r="K624" s="6"/>
    </row>
    <row r="625">
      <c r="B625" s="6"/>
      <c r="D625" s="7"/>
      <c r="K625" s="6"/>
    </row>
    <row r="626">
      <c r="B626" s="6"/>
      <c r="D626" s="7"/>
      <c r="K626" s="6"/>
    </row>
    <row r="627">
      <c r="B627" s="6"/>
      <c r="D627" s="7"/>
      <c r="K627" s="6"/>
    </row>
    <row r="628">
      <c r="B628" s="6"/>
      <c r="D628" s="7"/>
      <c r="K628" s="6"/>
    </row>
    <row r="629">
      <c r="B629" s="6"/>
      <c r="D629" s="7"/>
      <c r="K629" s="6"/>
    </row>
    <row r="630">
      <c r="B630" s="6"/>
      <c r="D630" s="7"/>
      <c r="K630" s="6"/>
    </row>
    <row r="631">
      <c r="B631" s="6"/>
      <c r="D631" s="7"/>
      <c r="K631" s="6"/>
    </row>
    <row r="632">
      <c r="B632" s="6"/>
      <c r="D632" s="7"/>
      <c r="K632" s="6"/>
    </row>
    <row r="633">
      <c r="B633" s="6"/>
      <c r="D633" s="7"/>
      <c r="K633" s="6"/>
    </row>
    <row r="634">
      <c r="B634" s="6"/>
      <c r="D634" s="7"/>
      <c r="K634" s="6"/>
    </row>
    <row r="635">
      <c r="B635" s="6"/>
      <c r="D635" s="7"/>
      <c r="K635" s="6"/>
    </row>
    <row r="636">
      <c r="B636" s="6"/>
      <c r="D636" s="7"/>
      <c r="K636" s="6"/>
    </row>
    <row r="637">
      <c r="B637" s="6"/>
      <c r="D637" s="7"/>
      <c r="K637" s="6"/>
    </row>
    <row r="638">
      <c r="B638" s="6"/>
      <c r="D638" s="7"/>
      <c r="K638" s="6"/>
    </row>
    <row r="639">
      <c r="B639" s="6"/>
      <c r="D639" s="7"/>
      <c r="K639" s="6"/>
    </row>
    <row r="640">
      <c r="B640" s="6"/>
      <c r="D640" s="7"/>
      <c r="K640" s="6"/>
    </row>
    <row r="641">
      <c r="B641" s="6"/>
      <c r="D641" s="7"/>
      <c r="K641" s="6"/>
    </row>
    <row r="642">
      <c r="B642" s="6"/>
      <c r="D642" s="7"/>
      <c r="K642" s="6"/>
    </row>
    <row r="643">
      <c r="B643" s="6"/>
      <c r="D643" s="7"/>
      <c r="K643" s="6"/>
    </row>
    <row r="644">
      <c r="B644" s="6"/>
      <c r="D644" s="7"/>
      <c r="K644" s="6"/>
    </row>
    <row r="645">
      <c r="B645" s="6"/>
      <c r="D645" s="7"/>
      <c r="K645" s="6"/>
    </row>
    <row r="646">
      <c r="B646" s="6"/>
      <c r="D646" s="7"/>
      <c r="K646" s="6"/>
    </row>
    <row r="647">
      <c r="B647" s="6"/>
      <c r="D647" s="7"/>
      <c r="K647" s="6"/>
    </row>
    <row r="648">
      <c r="B648" s="6"/>
      <c r="D648" s="7"/>
      <c r="K648" s="6"/>
    </row>
    <row r="649">
      <c r="B649" s="6"/>
      <c r="D649" s="7"/>
      <c r="K649" s="6"/>
    </row>
    <row r="650">
      <c r="B650" s="6"/>
      <c r="D650" s="7"/>
      <c r="K650" s="6"/>
    </row>
    <row r="651">
      <c r="B651" s="6"/>
      <c r="D651" s="7"/>
      <c r="K651" s="6"/>
    </row>
    <row r="652">
      <c r="B652" s="6"/>
      <c r="D652" s="7"/>
      <c r="K652" s="6"/>
    </row>
    <row r="653">
      <c r="B653" s="6"/>
      <c r="D653" s="7"/>
      <c r="K653" s="6"/>
    </row>
    <row r="654">
      <c r="B654" s="6"/>
      <c r="D654" s="7"/>
      <c r="K654" s="6"/>
    </row>
    <row r="655">
      <c r="B655" s="6"/>
      <c r="D655" s="7"/>
      <c r="K655" s="6"/>
    </row>
    <row r="656">
      <c r="B656" s="6"/>
      <c r="D656" s="7"/>
      <c r="K656" s="6"/>
    </row>
    <row r="657">
      <c r="B657" s="6"/>
      <c r="D657" s="7"/>
      <c r="K657" s="6"/>
    </row>
    <row r="658">
      <c r="B658" s="6"/>
      <c r="D658" s="7"/>
      <c r="K658" s="6"/>
    </row>
    <row r="659">
      <c r="B659" s="6"/>
      <c r="D659" s="7"/>
      <c r="K659" s="6"/>
    </row>
    <row r="660">
      <c r="B660" s="6"/>
      <c r="D660" s="7"/>
      <c r="K660" s="6"/>
    </row>
    <row r="661">
      <c r="B661" s="6"/>
      <c r="D661" s="7"/>
      <c r="K661" s="6"/>
    </row>
    <row r="662">
      <c r="B662" s="6"/>
      <c r="D662" s="7"/>
      <c r="K662" s="6"/>
    </row>
    <row r="663">
      <c r="B663" s="6"/>
      <c r="D663" s="7"/>
      <c r="K663" s="6"/>
    </row>
    <row r="664">
      <c r="B664" s="6"/>
      <c r="D664" s="7"/>
      <c r="K664" s="6"/>
    </row>
    <row r="665">
      <c r="B665" s="6"/>
      <c r="D665" s="7"/>
      <c r="K665" s="6"/>
    </row>
    <row r="666">
      <c r="B666" s="6"/>
      <c r="D666" s="7"/>
      <c r="K666" s="6"/>
    </row>
    <row r="667">
      <c r="B667" s="6"/>
      <c r="D667" s="7"/>
      <c r="K667" s="6"/>
    </row>
    <row r="668">
      <c r="B668" s="6"/>
      <c r="D668" s="7"/>
      <c r="K668" s="6"/>
    </row>
    <row r="669">
      <c r="B669" s="6"/>
      <c r="D669" s="7"/>
      <c r="K669" s="6"/>
    </row>
    <row r="670">
      <c r="B670" s="6"/>
      <c r="D670" s="7"/>
      <c r="K670" s="6"/>
    </row>
    <row r="671">
      <c r="B671" s="6"/>
      <c r="D671" s="7"/>
      <c r="K671" s="6"/>
    </row>
    <row r="672">
      <c r="B672" s="6"/>
      <c r="D672" s="7"/>
      <c r="K672" s="6"/>
    </row>
    <row r="673">
      <c r="B673" s="6"/>
      <c r="D673" s="7"/>
      <c r="K673" s="6"/>
    </row>
    <row r="674">
      <c r="B674" s="6"/>
      <c r="D674" s="7"/>
      <c r="K674" s="6"/>
    </row>
    <row r="675">
      <c r="B675" s="6"/>
      <c r="D675" s="7"/>
      <c r="K675" s="6"/>
    </row>
    <row r="676">
      <c r="B676" s="6"/>
      <c r="D676" s="7"/>
      <c r="K676" s="6"/>
    </row>
    <row r="677">
      <c r="B677" s="6"/>
      <c r="D677" s="7"/>
      <c r="K677" s="6"/>
    </row>
    <row r="678">
      <c r="B678" s="6"/>
      <c r="D678" s="7"/>
      <c r="K678" s="6"/>
    </row>
    <row r="679">
      <c r="B679" s="6"/>
      <c r="D679" s="7"/>
      <c r="K679" s="6"/>
    </row>
    <row r="680">
      <c r="B680" s="6"/>
      <c r="D680" s="7"/>
      <c r="K680" s="6"/>
    </row>
    <row r="681">
      <c r="B681" s="6"/>
      <c r="D681" s="7"/>
      <c r="K681" s="6"/>
    </row>
    <row r="682">
      <c r="B682" s="6"/>
      <c r="D682" s="7"/>
      <c r="K682" s="6"/>
    </row>
    <row r="683">
      <c r="B683" s="6"/>
      <c r="D683" s="7"/>
      <c r="K683" s="6"/>
    </row>
    <row r="684">
      <c r="B684" s="6"/>
      <c r="D684" s="7"/>
      <c r="K684" s="6"/>
    </row>
    <row r="685">
      <c r="B685" s="6"/>
      <c r="D685" s="7"/>
      <c r="K685" s="6"/>
    </row>
    <row r="686">
      <c r="B686" s="6"/>
      <c r="D686" s="7"/>
      <c r="K686" s="6"/>
    </row>
    <row r="687">
      <c r="B687" s="6"/>
      <c r="D687" s="7"/>
      <c r="K687" s="6"/>
    </row>
    <row r="688">
      <c r="B688" s="6"/>
      <c r="D688" s="7"/>
      <c r="K688" s="6"/>
    </row>
    <row r="689">
      <c r="B689" s="6"/>
      <c r="D689" s="7"/>
      <c r="K689" s="6"/>
    </row>
    <row r="690">
      <c r="B690" s="6"/>
      <c r="D690" s="7"/>
      <c r="K690" s="6"/>
    </row>
    <row r="691">
      <c r="B691" s="6"/>
      <c r="D691" s="7"/>
      <c r="K691" s="6"/>
    </row>
    <row r="692">
      <c r="B692" s="6"/>
      <c r="D692" s="7"/>
      <c r="K692" s="6"/>
    </row>
    <row r="693">
      <c r="B693" s="6"/>
      <c r="D693" s="7"/>
      <c r="K693" s="6"/>
    </row>
    <row r="694">
      <c r="B694" s="6"/>
      <c r="D694" s="7"/>
      <c r="K694" s="6"/>
    </row>
    <row r="695">
      <c r="B695" s="6"/>
      <c r="D695" s="7"/>
      <c r="K695" s="6"/>
    </row>
    <row r="696">
      <c r="B696" s="6"/>
      <c r="D696" s="7"/>
      <c r="K696" s="6"/>
    </row>
    <row r="697">
      <c r="B697" s="6"/>
      <c r="D697" s="7"/>
      <c r="K697" s="6"/>
    </row>
    <row r="698">
      <c r="B698" s="6"/>
      <c r="D698" s="7"/>
      <c r="K698" s="6"/>
    </row>
    <row r="699">
      <c r="B699" s="6"/>
      <c r="D699" s="7"/>
      <c r="K699" s="6"/>
    </row>
    <row r="700">
      <c r="B700" s="6"/>
      <c r="D700" s="7"/>
      <c r="K700" s="6"/>
    </row>
    <row r="701">
      <c r="B701" s="6"/>
      <c r="D701" s="7"/>
      <c r="K701" s="6"/>
    </row>
    <row r="702">
      <c r="B702" s="6"/>
      <c r="D702" s="7"/>
      <c r="K702" s="6"/>
    </row>
    <row r="703">
      <c r="B703" s="6"/>
      <c r="D703" s="7"/>
      <c r="K703" s="6"/>
    </row>
    <row r="704">
      <c r="B704" s="6"/>
      <c r="D704" s="7"/>
      <c r="K704" s="6"/>
    </row>
    <row r="705">
      <c r="B705" s="6"/>
      <c r="D705" s="7"/>
      <c r="K705" s="6"/>
    </row>
    <row r="706">
      <c r="B706" s="6"/>
      <c r="D706" s="7"/>
      <c r="K706" s="6"/>
    </row>
    <row r="707">
      <c r="B707" s="6"/>
      <c r="D707" s="7"/>
      <c r="K707" s="6"/>
    </row>
    <row r="708">
      <c r="B708" s="6"/>
      <c r="D708" s="7"/>
      <c r="K708" s="6"/>
    </row>
    <row r="709">
      <c r="B709" s="6"/>
      <c r="D709" s="7"/>
      <c r="K709" s="6"/>
    </row>
    <row r="710">
      <c r="B710" s="6"/>
      <c r="D710" s="7"/>
      <c r="K710" s="6"/>
    </row>
    <row r="711">
      <c r="B711" s="6"/>
      <c r="D711" s="7"/>
      <c r="K711" s="6"/>
    </row>
    <row r="712">
      <c r="B712" s="6"/>
      <c r="D712" s="7"/>
      <c r="K712" s="6"/>
    </row>
    <row r="713">
      <c r="B713" s="6"/>
      <c r="D713" s="7"/>
      <c r="K713" s="6"/>
    </row>
    <row r="714">
      <c r="B714" s="6"/>
      <c r="D714" s="7"/>
      <c r="K714" s="6"/>
    </row>
    <row r="715">
      <c r="B715" s="6"/>
      <c r="D715" s="7"/>
      <c r="K715" s="6"/>
    </row>
    <row r="716">
      <c r="B716" s="6"/>
      <c r="D716" s="7"/>
      <c r="K716" s="6"/>
    </row>
    <row r="717">
      <c r="B717" s="6"/>
      <c r="D717" s="7"/>
      <c r="K717" s="6"/>
    </row>
    <row r="718">
      <c r="B718" s="6"/>
      <c r="D718" s="7"/>
      <c r="K718" s="6"/>
    </row>
    <row r="719">
      <c r="B719" s="6"/>
      <c r="D719" s="7"/>
      <c r="K719" s="6"/>
    </row>
    <row r="720">
      <c r="B720" s="6"/>
      <c r="D720" s="7"/>
      <c r="K720" s="6"/>
    </row>
    <row r="721">
      <c r="B721" s="6"/>
      <c r="D721" s="7"/>
      <c r="K721" s="6"/>
    </row>
    <row r="722">
      <c r="B722" s="6"/>
      <c r="D722" s="7"/>
      <c r="K722" s="6"/>
    </row>
    <row r="723">
      <c r="B723" s="6"/>
      <c r="D723" s="7"/>
      <c r="K723" s="6"/>
    </row>
    <row r="724">
      <c r="B724" s="6"/>
      <c r="D724" s="7"/>
      <c r="K724" s="6"/>
    </row>
    <row r="725">
      <c r="B725" s="6"/>
      <c r="D725" s="7"/>
      <c r="K725" s="6"/>
    </row>
    <row r="726">
      <c r="B726" s="6"/>
      <c r="D726" s="7"/>
      <c r="K726" s="6"/>
    </row>
    <row r="727">
      <c r="B727" s="6"/>
      <c r="D727" s="7"/>
      <c r="K727" s="6"/>
    </row>
    <row r="728">
      <c r="B728" s="6"/>
      <c r="D728" s="7"/>
      <c r="K728" s="6"/>
    </row>
    <row r="729">
      <c r="B729" s="6"/>
      <c r="D729" s="7"/>
      <c r="K729" s="6"/>
    </row>
    <row r="730">
      <c r="B730" s="6"/>
      <c r="D730" s="7"/>
      <c r="K730" s="6"/>
    </row>
    <row r="731">
      <c r="B731" s="6"/>
      <c r="D731" s="7"/>
      <c r="K731" s="6"/>
    </row>
    <row r="732">
      <c r="B732" s="6"/>
      <c r="D732" s="7"/>
      <c r="K732" s="6"/>
    </row>
    <row r="733">
      <c r="B733" s="6"/>
      <c r="D733" s="7"/>
      <c r="K733" s="6"/>
    </row>
    <row r="734">
      <c r="B734" s="6"/>
      <c r="D734" s="7"/>
      <c r="K734" s="6"/>
    </row>
    <row r="735">
      <c r="B735" s="6"/>
      <c r="D735" s="7"/>
      <c r="K735" s="6"/>
    </row>
    <row r="736">
      <c r="B736" s="6"/>
      <c r="D736" s="7"/>
      <c r="K736" s="6"/>
    </row>
    <row r="737">
      <c r="B737" s="6"/>
      <c r="D737" s="7"/>
      <c r="K737" s="6"/>
    </row>
    <row r="738">
      <c r="B738" s="6"/>
      <c r="D738" s="7"/>
      <c r="K738" s="6"/>
    </row>
    <row r="739">
      <c r="B739" s="6"/>
      <c r="D739" s="7"/>
      <c r="K739" s="6"/>
    </row>
    <row r="740">
      <c r="B740" s="6"/>
      <c r="D740" s="7"/>
      <c r="K740" s="6"/>
    </row>
    <row r="741">
      <c r="B741" s="6"/>
      <c r="D741" s="7"/>
      <c r="K741" s="6"/>
    </row>
    <row r="742">
      <c r="B742" s="6"/>
      <c r="D742" s="7"/>
      <c r="K742" s="6"/>
    </row>
    <row r="743">
      <c r="B743" s="6"/>
      <c r="D743" s="7"/>
      <c r="K743" s="6"/>
    </row>
    <row r="744">
      <c r="B744" s="6"/>
      <c r="D744" s="7"/>
      <c r="K744" s="6"/>
    </row>
    <row r="745">
      <c r="B745" s="6"/>
      <c r="D745" s="7"/>
      <c r="K745" s="6"/>
    </row>
    <row r="746">
      <c r="B746" s="6"/>
      <c r="D746" s="7"/>
      <c r="K746" s="6"/>
    </row>
    <row r="747">
      <c r="B747" s="6"/>
      <c r="D747" s="7"/>
      <c r="K747" s="6"/>
    </row>
    <row r="748">
      <c r="B748" s="6"/>
      <c r="D748" s="7"/>
      <c r="K748" s="6"/>
    </row>
    <row r="749">
      <c r="B749" s="6"/>
      <c r="D749" s="7"/>
      <c r="K749" s="6"/>
    </row>
    <row r="750">
      <c r="B750" s="6"/>
      <c r="D750" s="7"/>
      <c r="K750" s="6"/>
    </row>
    <row r="751">
      <c r="B751" s="6"/>
      <c r="D751" s="7"/>
      <c r="K751" s="6"/>
    </row>
    <row r="752">
      <c r="B752" s="6"/>
      <c r="D752" s="7"/>
      <c r="K752" s="6"/>
    </row>
    <row r="753">
      <c r="B753" s="6"/>
      <c r="D753" s="7"/>
      <c r="K753" s="6"/>
    </row>
    <row r="754">
      <c r="B754" s="6"/>
      <c r="D754" s="7"/>
      <c r="K754" s="6"/>
    </row>
    <row r="755">
      <c r="B755" s="6"/>
      <c r="D755" s="7"/>
      <c r="K755" s="6"/>
    </row>
    <row r="756">
      <c r="B756" s="6"/>
      <c r="D756" s="7"/>
      <c r="K756" s="6"/>
    </row>
    <row r="757">
      <c r="B757" s="6"/>
      <c r="D757" s="7"/>
      <c r="K757" s="6"/>
    </row>
    <row r="758">
      <c r="B758" s="6"/>
      <c r="D758" s="7"/>
      <c r="K758" s="6"/>
    </row>
    <row r="759">
      <c r="B759" s="6"/>
      <c r="D759" s="7"/>
      <c r="K759" s="6"/>
    </row>
    <row r="760">
      <c r="B760" s="6"/>
      <c r="D760" s="7"/>
      <c r="K760" s="6"/>
    </row>
    <row r="761">
      <c r="B761" s="6"/>
      <c r="D761" s="7"/>
      <c r="K761" s="6"/>
    </row>
    <row r="762">
      <c r="B762" s="6"/>
      <c r="D762" s="7"/>
      <c r="K762" s="6"/>
    </row>
    <row r="763">
      <c r="B763" s="6"/>
      <c r="D763" s="7"/>
      <c r="K763" s="6"/>
    </row>
    <row r="764">
      <c r="B764" s="6"/>
      <c r="D764" s="7"/>
      <c r="K764" s="6"/>
    </row>
    <row r="765">
      <c r="B765" s="6"/>
      <c r="D765" s="7"/>
      <c r="K765" s="6"/>
    </row>
    <row r="766">
      <c r="B766" s="6"/>
      <c r="D766" s="7"/>
      <c r="K766" s="6"/>
    </row>
    <row r="767">
      <c r="B767" s="6"/>
      <c r="D767" s="7"/>
      <c r="K767" s="6"/>
    </row>
    <row r="768">
      <c r="B768" s="6"/>
      <c r="D768" s="7"/>
      <c r="K768" s="6"/>
    </row>
    <row r="769">
      <c r="B769" s="6"/>
      <c r="D769" s="7"/>
      <c r="K769" s="6"/>
    </row>
    <row r="770">
      <c r="B770" s="6"/>
      <c r="D770" s="7"/>
      <c r="K770" s="6"/>
    </row>
    <row r="771">
      <c r="B771" s="6"/>
      <c r="D771" s="7"/>
      <c r="K771" s="6"/>
    </row>
    <row r="772">
      <c r="B772" s="6"/>
      <c r="D772" s="7"/>
      <c r="K772" s="6"/>
    </row>
    <row r="773">
      <c r="B773" s="6"/>
      <c r="D773" s="7"/>
      <c r="K773" s="6"/>
    </row>
    <row r="774">
      <c r="B774" s="6"/>
      <c r="D774" s="7"/>
      <c r="K774" s="6"/>
    </row>
    <row r="775">
      <c r="B775" s="6"/>
      <c r="D775" s="7"/>
      <c r="K775" s="6"/>
    </row>
    <row r="776">
      <c r="B776" s="6"/>
      <c r="D776" s="7"/>
      <c r="K776" s="6"/>
    </row>
    <row r="777">
      <c r="B777" s="6"/>
      <c r="D777" s="7"/>
      <c r="K777" s="6"/>
    </row>
    <row r="778">
      <c r="B778" s="6"/>
      <c r="D778" s="7"/>
      <c r="K778" s="6"/>
    </row>
    <row r="779">
      <c r="B779" s="6"/>
      <c r="D779" s="7"/>
      <c r="K779" s="6"/>
    </row>
    <row r="780">
      <c r="B780" s="6"/>
      <c r="D780" s="7"/>
      <c r="K780" s="6"/>
    </row>
    <row r="781">
      <c r="B781" s="6"/>
      <c r="D781" s="7"/>
      <c r="K781" s="6"/>
    </row>
    <row r="782">
      <c r="B782" s="6"/>
      <c r="D782" s="7"/>
      <c r="K782" s="6"/>
    </row>
    <row r="783">
      <c r="B783" s="6"/>
      <c r="D783" s="7"/>
      <c r="K783" s="6"/>
    </row>
    <row r="784">
      <c r="B784" s="6"/>
      <c r="D784" s="7"/>
      <c r="K784" s="6"/>
    </row>
    <row r="785">
      <c r="B785" s="6"/>
      <c r="D785" s="7"/>
      <c r="K785" s="6"/>
    </row>
    <row r="786">
      <c r="B786" s="6"/>
      <c r="D786" s="7"/>
      <c r="K786" s="6"/>
    </row>
    <row r="787">
      <c r="B787" s="6"/>
      <c r="D787" s="7"/>
      <c r="K787" s="6"/>
    </row>
    <row r="788">
      <c r="B788" s="6"/>
      <c r="D788" s="7"/>
      <c r="K788" s="6"/>
    </row>
    <row r="789">
      <c r="B789" s="6"/>
      <c r="D789" s="7"/>
      <c r="K789" s="6"/>
    </row>
    <row r="790">
      <c r="B790" s="6"/>
      <c r="D790" s="7"/>
      <c r="K790" s="6"/>
    </row>
    <row r="791">
      <c r="B791" s="6"/>
      <c r="D791" s="7"/>
      <c r="K791" s="6"/>
    </row>
    <row r="792">
      <c r="B792" s="6"/>
      <c r="D792" s="7"/>
      <c r="K792" s="6"/>
    </row>
    <row r="793">
      <c r="B793" s="6"/>
      <c r="D793" s="7"/>
      <c r="K793" s="6"/>
    </row>
    <row r="794">
      <c r="B794" s="6"/>
      <c r="D794" s="7"/>
      <c r="K794" s="6"/>
    </row>
    <row r="795">
      <c r="B795" s="6"/>
      <c r="D795" s="7"/>
      <c r="K795" s="6"/>
    </row>
    <row r="796">
      <c r="B796" s="6"/>
      <c r="D796" s="7"/>
      <c r="K796" s="6"/>
    </row>
    <row r="797">
      <c r="B797" s="6"/>
      <c r="D797" s="7"/>
      <c r="K797" s="6"/>
    </row>
    <row r="798">
      <c r="B798" s="6"/>
      <c r="D798" s="7"/>
      <c r="K798" s="6"/>
    </row>
    <row r="799">
      <c r="B799" s="6"/>
      <c r="D799" s="7"/>
      <c r="K799" s="6"/>
    </row>
    <row r="800">
      <c r="B800" s="6"/>
      <c r="D800" s="7"/>
      <c r="K800" s="6"/>
    </row>
    <row r="801">
      <c r="B801" s="6"/>
      <c r="D801" s="7"/>
      <c r="K801" s="6"/>
    </row>
    <row r="802">
      <c r="B802" s="6"/>
      <c r="D802" s="7"/>
      <c r="K802" s="6"/>
    </row>
    <row r="803">
      <c r="B803" s="6"/>
      <c r="D803" s="7"/>
      <c r="K803" s="6"/>
    </row>
    <row r="804">
      <c r="B804" s="6"/>
      <c r="D804" s="7"/>
      <c r="K804" s="6"/>
    </row>
    <row r="805">
      <c r="B805" s="6"/>
      <c r="D805" s="7"/>
      <c r="K805" s="6"/>
    </row>
    <row r="806">
      <c r="B806" s="6"/>
      <c r="D806" s="7"/>
      <c r="K806" s="6"/>
    </row>
    <row r="807">
      <c r="B807" s="6"/>
      <c r="D807" s="7"/>
      <c r="K807" s="6"/>
    </row>
    <row r="808">
      <c r="B808" s="6"/>
      <c r="D808" s="7"/>
      <c r="K808" s="6"/>
    </row>
    <row r="809">
      <c r="B809" s="6"/>
      <c r="D809" s="7"/>
      <c r="K809" s="6"/>
    </row>
    <row r="810">
      <c r="B810" s="6"/>
      <c r="D810" s="7"/>
      <c r="K810" s="6"/>
    </row>
    <row r="811">
      <c r="B811" s="6"/>
      <c r="D811" s="7"/>
      <c r="K811" s="6"/>
    </row>
    <row r="812">
      <c r="B812" s="6"/>
      <c r="D812" s="7"/>
      <c r="K812" s="6"/>
    </row>
    <row r="813">
      <c r="B813" s="6"/>
      <c r="D813" s="7"/>
      <c r="K813" s="6"/>
    </row>
    <row r="814">
      <c r="B814" s="6"/>
      <c r="D814" s="7"/>
      <c r="K814" s="6"/>
    </row>
    <row r="815">
      <c r="B815" s="6"/>
      <c r="D815" s="7"/>
      <c r="K815" s="6"/>
    </row>
    <row r="816">
      <c r="B816" s="6"/>
      <c r="D816" s="7"/>
      <c r="K816" s="6"/>
    </row>
    <row r="817">
      <c r="B817" s="6"/>
      <c r="D817" s="7"/>
      <c r="K817" s="6"/>
    </row>
    <row r="818">
      <c r="B818" s="6"/>
      <c r="D818" s="7"/>
      <c r="K818" s="6"/>
    </row>
    <row r="819">
      <c r="B819" s="6"/>
      <c r="D819" s="7"/>
      <c r="K819" s="6"/>
    </row>
    <row r="820">
      <c r="B820" s="6"/>
      <c r="D820" s="7"/>
      <c r="K820" s="6"/>
    </row>
    <row r="821">
      <c r="B821" s="6"/>
      <c r="D821" s="7"/>
      <c r="K821" s="6"/>
    </row>
    <row r="822">
      <c r="B822" s="6"/>
      <c r="D822" s="7"/>
      <c r="K822" s="6"/>
    </row>
    <row r="823">
      <c r="B823" s="6"/>
      <c r="D823" s="7"/>
      <c r="K823" s="6"/>
    </row>
    <row r="824">
      <c r="B824" s="6"/>
      <c r="D824" s="7"/>
      <c r="K824" s="6"/>
    </row>
    <row r="825">
      <c r="B825" s="6"/>
      <c r="D825" s="7"/>
      <c r="K825" s="6"/>
    </row>
    <row r="826">
      <c r="B826" s="6"/>
      <c r="D826" s="7"/>
      <c r="K826" s="6"/>
    </row>
    <row r="827">
      <c r="B827" s="6"/>
      <c r="D827" s="7"/>
      <c r="K827" s="6"/>
    </row>
    <row r="828">
      <c r="B828" s="6"/>
      <c r="D828" s="7"/>
      <c r="K828" s="6"/>
    </row>
    <row r="829">
      <c r="B829" s="6"/>
      <c r="D829" s="7"/>
      <c r="K829" s="6"/>
    </row>
    <row r="830">
      <c r="B830" s="6"/>
      <c r="D830" s="7"/>
      <c r="K830" s="6"/>
    </row>
    <row r="831">
      <c r="B831" s="6"/>
      <c r="D831" s="7"/>
      <c r="K831" s="6"/>
    </row>
    <row r="832">
      <c r="B832" s="6"/>
      <c r="D832" s="7"/>
      <c r="K832" s="6"/>
    </row>
    <row r="833">
      <c r="B833" s="6"/>
      <c r="D833" s="7"/>
      <c r="K833" s="6"/>
    </row>
    <row r="834">
      <c r="B834" s="6"/>
      <c r="D834" s="7"/>
      <c r="K834" s="6"/>
    </row>
    <row r="835">
      <c r="B835" s="6"/>
      <c r="D835" s="7"/>
      <c r="K835" s="6"/>
    </row>
    <row r="836">
      <c r="B836" s="6"/>
      <c r="D836" s="7"/>
      <c r="K836" s="6"/>
    </row>
    <row r="837">
      <c r="B837" s="6"/>
      <c r="D837" s="7"/>
      <c r="K837" s="6"/>
    </row>
    <row r="838">
      <c r="B838" s="6"/>
      <c r="D838" s="7"/>
      <c r="K838" s="6"/>
    </row>
    <row r="839">
      <c r="B839" s="6"/>
      <c r="D839" s="7"/>
      <c r="K839" s="6"/>
    </row>
    <row r="840">
      <c r="B840" s="6"/>
      <c r="D840" s="7"/>
      <c r="K840" s="6"/>
    </row>
    <row r="841">
      <c r="B841" s="6"/>
      <c r="D841" s="7"/>
      <c r="K841" s="6"/>
    </row>
    <row r="842">
      <c r="B842" s="6"/>
      <c r="D842" s="7"/>
      <c r="K842" s="6"/>
    </row>
    <row r="843">
      <c r="B843" s="6"/>
      <c r="D843" s="7"/>
      <c r="K843" s="6"/>
    </row>
    <row r="844">
      <c r="B844" s="6"/>
      <c r="D844" s="7"/>
      <c r="K844" s="6"/>
    </row>
    <row r="845">
      <c r="B845" s="6"/>
      <c r="D845" s="7"/>
      <c r="K845" s="6"/>
    </row>
    <row r="846">
      <c r="B846" s="6"/>
      <c r="D846" s="7"/>
      <c r="K846" s="6"/>
    </row>
    <row r="847">
      <c r="B847" s="6"/>
      <c r="D847" s="7"/>
      <c r="K847" s="6"/>
    </row>
    <row r="848">
      <c r="B848" s="6"/>
      <c r="D848" s="7"/>
      <c r="K848" s="6"/>
    </row>
    <row r="849">
      <c r="B849" s="6"/>
      <c r="D849" s="7"/>
      <c r="K849" s="6"/>
    </row>
    <row r="850">
      <c r="B850" s="6"/>
      <c r="D850" s="7"/>
      <c r="K850" s="6"/>
    </row>
    <row r="851">
      <c r="B851" s="6"/>
      <c r="D851" s="7"/>
      <c r="K851" s="6"/>
    </row>
    <row r="852">
      <c r="B852" s="6"/>
      <c r="D852" s="7"/>
      <c r="K852" s="6"/>
    </row>
    <row r="853">
      <c r="B853" s="6"/>
      <c r="D853" s="7"/>
      <c r="K853" s="6"/>
    </row>
    <row r="854">
      <c r="B854" s="6"/>
      <c r="D854" s="7"/>
      <c r="K854" s="6"/>
    </row>
    <row r="855">
      <c r="B855" s="6"/>
      <c r="D855" s="7"/>
      <c r="K855" s="6"/>
    </row>
    <row r="856">
      <c r="B856" s="6"/>
      <c r="D856" s="7"/>
      <c r="K856" s="6"/>
    </row>
    <row r="857">
      <c r="B857" s="6"/>
      <c r="D857" s="7"/>
      <c r="K857" s="6"/>
    </row>
    <row r="858">
      <c r="B858" s="6"/>
      <c r="D858" s="7"/>
      <c r="K858" s="6"/>
    </row>
    <row r="859">
      <c r="B859" s="6"/>
      <c r="D859" s="7"/>
      <c r="K859" s="6"/>
    </row>
    <row r="860">
      <c r="B860" s="6"/>
      <c r="D860" s="7"/>
      <c r="K860" s="6"/>
    </row>
    <row r="861">
      <c r="B861" s="6"/>
      <c r="D861" s="7"/>
      <c r="K861" s="6"/>
    </row>
    <row r="862">
      <c r="B862" s="6"/>
      <c r="D862" s="7"/>
      <c r="K862" s="6"/>
    </row>
    <row r="863">
      <c r="B863" s="6"/>
      <c r="D863" s="7"/>
      <c r="K863" s="6"/>
    </row>
    <row r="864">
      <c r="B864" s="6"/>
      <c r="D864" s="7"/>
      <c r="K864" s="6"/>
    </row>
    <row r="865">
      <c r="B865" s="6"/>
      <c r="D865" s="7"/>
      <c r="K865" s="6"/>
    </row>
    <row r="866">
      <c r="B866" s="6"/>
      <c r="D866" s="7"/>
      <c r="K866" s="6"/>
    </row>
    <row r="867">
      <c r="B867" s="6"/>
      <c r="D867" s="7"/>
      <c r="K867" s="6"/>
    </row>
    <row r="868">
      <c r="B868" s="6"/>
      <c r="D868" s="7"/>
      <c r="K868" s="6"/>
    </row>
    <row r="869">
      <c r="B869" s="6"/>
      <c r="D869" s="7"/>
      <c r="K869" s="6"/>
    </row>
    <row r="870">
      <c r="B870" s="6"/>
      <c r="D870" s="7"/>
      <c r="K870" s="6"/>
    </row>
    <row r="871">
      <c r="B871" s="6"/>
      <c r="D871" s="7"/>
      <c r="K871" s="6"/>
    </row>
    <row r="872">
      <c r="B872" s="6"/>
      <c r="D872" s="7"/>
      <c r="K872" s="6"/>
    </row>
    <row r="873">
      <c r="B873" s="6"/>
      <c r="D873" s="7"/>
      <c r="K873" s="6"/>
    </row>
    <row r="874">
      <c r="B874" s="6"/>
      <c r="D874" s="7"/>
      <c r="K874" s="6"/>
    </row>
    <row r="875">
      <c r="B875" s="6"/>
      <c r="D875" s="7"/>
      <c r="K875" s="6"/>
    </row>
    <row r="876">
      <c r="B876" s="6"/>
      <c r="D876" s="7"/>
      <c r="K876" s="6"/>
    </row>
    <row r="877">
      <c r="B877" s="6"/>
      <c r="D877" s="7"/>
      <c r="K877" s="6"/>
    </row>
    <row r="878">
      <c r="B878" s="6"/>
      <c r="D878" s="7"/>
      <c r="K878" s="6"/>
    </row>
    <row r="879">
      <c r="B879" s="6"/>
      <c r="D879" s="7"/>
      <c r="K879" s="6"/>
    </row>
    <row r="880">
      <c r="B880" s="6"/>
      <c r="D880" s="7"/>
      <c r="K880" s="6"/>
    </row>
    <row r="881">
      <c r="B881" s="6"/>
      <c r="D881" s="7"/>
      <c r="K881" s="6"/>
    </row>
    <row r="882">
      <c r="B882" s="6"/>
      <c r="D882" s="7"/>
      <c r="K882" s="6"/>
    </row>
    <row r="883">
      <c r="B883" s="6"/>
      <c r="D883" s="7"/>
      <c r="K883" s="6"/>
    </row>
    <row r="884">
      <c r="B884" s="6"/>
      <c r="D884" s="7"/>
      <c r="K884" s="6"/>
    </row>
    <row r="885">
      <c r="B885" s="6"/>
      <c r="D885" s="7"/>
      <c r="K885" s="6"/>
    </row>
    <row r="886">
      <c r="B886" s="6"/>
      <c r="D886" s="7"/>
      <c r="K886" s="6"/>
    </row>
    <row r="887">
      <c r="B887" s="6"/>
      <c r="D887" s="7"/>
      <c r="K887" s="6"/>
    </row>
    <row r="888">
      <c r="B888" s="6"/>
      <c r="D888" s="7"/>
      <c r="K888" s="6"/>
    </row>
    <row r="889">
      <c r="B889" s="6"/>
      <c r="D889" s="7"/>
      <c r="K889" s="6"/>
    </row>
    <row r="890">
      <c r="B890" s="6"/>
      <c r="D890" s="7"/>
      <c r="K890" s="6"/>
    </row>
    <row r="891">
      <c r="B891" s="6"/>
      <c r="D891" s="7"/>
      <c r="K891" s="6"/>
    </row>
    <row r="892">
      <c r="B892" s="6"/>
      <c r="D892" s="7"/>
      <c r="K892" s="6"/>
    </row>
    <row r="893">
      <c r="B893" s="6"/>
      <c r="D893" s="7"/>
      <c r="K893" s="6"/>
    </row>
    <row r="894">
      <c r="B894" s="6"/>
      <c r="D894" s="7"/>
      <c r="K894" s="6"/>
    </row>
    <row r="895">
      <c r="B895" s="6"/>
      <c r="D895" s="7"/>
      <c r="K895" s="6"/>
    </row>
    <row r="896">
      <c r="B896" s="6"/>
      <c r="D896" s="7"/>
      <c r="K896" s="6"/>
    </row>
    <row r="897">
      <c r="B897" s="6"/>
      <c r="D897" s="7"/>
      <c r="K897" s="6"/>
    </row>
    <row r="898">
      <c r="B898" s="6"/>
      <c r="D898" s="7"/>
      <c r="K898" s="6"/>
    </row>
    <row r="899">
      <c r="B899" s="6"/>
      <c r="D899" s="7"/>
      <c r="K899" s="6"/>
    </row>
    <row r="900">
      <c r="B900" s="6"/>
      <c r="D900" s="7"/>
      <c r="K900" s="6"/>
    </row>
    <row r="901">
      <c r="B901" s="6"/>
      <c r="D901" s="7"/>
      <c r="K901" s="6"/>
    </row>
    <row r="902">
      <c r="B902" s="6"/>
      <c r="D902" s="7"/>
      <c r="K902" s="6"/>
    </row>
    <row r="903">
      <c r="B903" s="6"/>
      <c r="D903" s="7"/>
      <c r="K903" s="6"/>
    </row>
    <row r="904">
      <c r="B904" s="6"/>
      <c r="D904" s="7"/>
      <c r="K904" s="6"/>
    </row>
    <row r="905">
      <c r="B905" s="6"/>
      <c r="D905" s="7"/>
      <c r="K905" s="6"/>
    </row>
    <row r="906">
      <c r="B906" s="6"/>
      <c r="D906" s="7"/>
      <c r="K906" s="6"/>
    </row>
    <row r="907">
      <c r="B907" s="6"/>
      <c r="D907" s="7"/>
      <c r="K907" s="6"/>
    </row>
    <row r="908">
      <c r="B908" s="6"/>
      <c r="D908" s="7"/>
      <c r="K908" s="6"/>
    </row>
    <row r="909">
      <c r="B909" s="6"/>
      <c r="D909" s="7"/>
      <c r="K909" s="6"/>
    </row>
    <row r="910">
      <c r="B910" s="6"/>
      <c r="D910" s="7"/>
      <c r="K910" s="6"/>
    </row>
    <row r="911">
      <c r="B911" s="6"/>
      <c r="D911" s="7"/>
      <c r="K911" s="6"/>
    </row>
    <row r="912">
      <c r="B912" s="6"/>
      <c r="D912" s="7"/>
      <c r="K912" s="6"/>
    </row>
    <row r="913">
      <c r="B913" s="6"/>
      <c r="D913" s="7"/>
      <c r="K913" s="6"/>
    </row>
    <row r="914">
      <c r="B914" s="6"/>
      <c r="D914" s="7"/>
      <c r="K914" s="6"/>
    </row>
    <row r="915">
      <c r="B915" s="6"/>
      <c r="D915" s="7"/>
      <c r="K915" s="6"/>
    </row>
    <row r="916">
      <c r="B916" s="6"/>
      <c r="D916" s="7"/>
      <c r="K916" s="6"/>
    </row>
    <row r="917">
      <c r="B917" s="6"/>
      <c r="D917" s="7"/>
      <c r="K917" s="6"/>
    </row>
    <row r="918">
      <c r="B918" s="6"/>
      <c r="D918" s="7"/>
      <c r="K918" s="6"/>
    </row>
    <row r="919">
      <c r="B919" s="6"/>
      <c r="D919" s="7"/>
      <c r="K919" s="6"/>
    </row>
    <row r="920">
      <c r="B920" s="6"/>
      <c r="D920" s="7"/>
      <c r="K920" s="6"/>
    </row>
    <row r="921">
      <c r="B921" s="6"/>
      <c r="D921" s="7"/>
      <c r="K921" s="6"/>
    </row>
    <row r="922">
      <c r="B922" s="6"/>
      <c r="D922" s="7"/>
      <c r="K922" s="6"/>
    </row>
    <row r="923">
      <c r="B923" s="6"/>
      <c r="D923" s="7"/>
      <c r="K923" s="6"/>
    </row>
    <row r="924">
      <c r="B924" s="6"/>
      <c r="D924" s="7"/>
      <c r="K924" s="6"/>
    </row>
    <row r="925">
      <c r="B925" s="6"/>
      <c r="D925" s="7"/>
      <c r="K925" s="6"/>
    </row>
    <row r="926">
      <c r="B926" s="6"/>
      <c r="D926" s="7"/>
      <c r="K926" s="6"/>
    </row>
    <row r="927">
      <c r="B927" s="6"/>
      <c r="D927" s="7"/>
      <c r="K927" s="6"/>
    </row>
    <row r="928">
      <c r="B928" s="6"/>
      <c r="D928" s="7"/>
      <c r="K928" s="6"/>
    </row>
    <row r="929">
      <c r="B929" s="6"/>
      <c r="D929" s="7"/>
      <c r="K929" s="6"/>
    </row>
    <row r="930">
      <c r="B930" s="6"/>
      <c r="D930" s="7"/>
      <c r="K930" s="6"/>
    </row>
    <row r="931">
      <c r="B931" s="6"/>
      <c r="D931" s="7"/>
      <c r="K931" s="6"/>
    </row>
    <row r="932">
      <c r="B932" s="6"/>
      <c r="D932" s="7"/>
      <c r="K932" s="6"/>
    </row>
    <row r="933">
      <c r="B933" s="6"/>
      <c r="D933" s="7"/>
      <c r="K933" s="6"/>
    </row>
    <row r="934">
      <c r="B934" s="6"/>
      <c r="D934" s="7"/>
      <c r="K934" s="6"/>
    </row>
    <row r="935">
      <c r="B935" s="6"/>
      <c r="D935" s="7"/>
      <c r="K935" s="6"/>
    </row>
    <row r="936">
      <c r="B936" s="6"/>
      <c r="D936" s="7"/>
      <c r="K936" s="6"/>
    </row>
    <row r="937">
      <c r="B937" s="6"/>
      <c r="D937" s="7"/>
      <c r="K937" s="6"/>
    </row>
    <row r="938">
      <c r="B938" s="6"/>
      <c r="D938" s="7"/>
      <c r="K938" s="6"/>
    </row>
    <row r="939">
      <c r="B939" s="6"/>
      <c r="D939" s="7"/>
      <c r="K939" s="6"/>
    </row>
    <row r="940">
      <c r="B940" s="6"/>
      <c r="D940" s="7"/>
      <c r="K940" s="6"/>
    </row>
    <row r="941">
      <c r="B941" s="6"/>
      <c r="D941" s="7"/>
      <c r="K941" s="6"/>
    </row>
    <row r="942">
      <c r="B942" s="6"/>
      <c r="D942" s="7"/>
      <c r="K942" s="6"/>
    </row>
    <row r="943">
      <c r="B943" s="6"/>
      <c r="D943" s="7"/>
      <c r="K943" s="6"/>
    </row>
    <row r="944">
      <c r="B944" s="6"/>
      <c r="D944" s="7"/>
      <c r="K944" s="6"/>
    </row>
    <row r="945">
      <c r="B945" s="6"/>
      <c r="D945" s="7"/>
      <c r="K945" s="6"/>
    </row>
    <row r="946">
      <c r="B946" s="6"/>
      <c r="D946" s="7"/>
      <c r="K946" s="6"/>
    </row>
    <row r="947">
      <c r="B947" s="6"/>
      <c r="D947" s="7"/>
      <c r="K947" s="6"/>
    </row>
    <row r="948">
      <c r="B948" s="6"/>
      <c r="D948" s="7"/>
      <c r="K948" s="6"/>
    </row>
    <row r="949">
      <c r="B949" s="6"/>
      <c r="D949" s="7"/>
      <c r="K949" s="6"/>
    </row>
    <row r="950">
      <c r="B950" s="6"/>
      <c r="D950" s="7"/>
      <c r="K950" s="6"/>
    </row>
    <row r="951">
      <c r="B951" s="6"/>
      <c r="D951" s="7"/>
      <c r="K951" s="6"/>
    </row>
    <row r="952">
      <c r="B952" s="6"/>
      <c r="D952" s="7"/>
      <c r="K952" s="6"/>
    </row>
    <row r="953">
      <c r="B953" s="6"/>
      <c r="D953" s="7"/>
      <c r="K953" s="6"/>
    </row>
    <row r="954">
      <c r="B954" s="6"/>
      <c r="D954" s="7"/>
      <c r="K954" s="6"/>
    </row>
    <row r="955">
      <c r="B955" s="6"/>
      <c r="D955" s="7"/>
      <c r="K955" s="6"/>
    </row>
    <row r="956">
      <c r="B956" s="6"/>
      <c r="D956" s="7"/>
      <c r="K956" s="6"/>
    </row>
    <row r="957">
      <c r="B957" s="6"/>
      <c r="D957" s="7"/>
      <c r="K957" s="6"/>
    </row>
    <row r="958">
      <c r="B958" s="6"/>
      <c r="D958" s="7"/>
      <c r="K958" s="6"/>
    </row>
    <row r="959">
      <c r="B959" s="6"/>
      <c r="D959" s="7"/>
      <c r="K959" s="6"/>
    </row>
    <row r="960">
      <c r="B960" s="6"/>
      <c r="D960" s="7"/>
      <c r="K960" s="6"/>
    </row>
    <row r="961">
      <c r="B961" s="6"/>
      <c r="D961" s="7"/>
      <c r="K961" s="6"/>
    </row>
    <row r="962">
      <c r="B962" s="6"/>
      <c r="D962" s="7"/>
      <c r="K962" s="6"/>
    </row>
    <row r="963">
      <c r="B963" s="6"/>
      <c r="D963" s="7"/>
      <c r="K963" s="6"/>
    </row>
    <row r="964">
      <c r="B964" s="6"/>
      <c r="D964" s="7"/>
      <c r="K964" s="6"/>
    </row>
    <row r="965">
      <c r="B965" s="6"/>
      <c r="D965" s="7"/>
      <c r="K965" s="6"/>
    </row>
    <row r="966">
      <c r="B966" s="6"/>
      <c r="D966" s="7"/>
      <c r="K966" s="6"/>
    </row>
    <row r="967">
      <c r="B967" s="6"/>
      <c r="D967" s="7"/>
      <c r="K967" s="6"/>
    </row>
    <row r="968">
      <c r="B968" s="6"/>
      <c r="D968" s="7"/>
      <c r="K968" s="6"/>
    </row>
    <row r="969">
      <c r="B969" s="6"/>
      <c r="D969" s="7"/>
      <c r="K969" s="6"/>
    </row>
    <row r="970">
      <c r="B970" s="6"/>
      <c r="D970" s="7"/>
      <c r="K970" s="6"/>
    </row>
    <row r="971">
      <c r="B971" s="6"/>
      <c r="D971" s="7"/>
      <c r="K971" s="6"/>
    </row>
    <row r="972">
      <c r="B972" s="6"/>
      <c r="D972" s="7"/>
      <c r="K972" s="6"/>
    </row>
    <row r="973">
      <c r="B973" s="6"/>
      <c r="D973" s="7"/>
      <c r="K973" s="6"/>
    </row>
    <row r="974">
      <c r="B974" s="6"/>
      <c r="D974" s="7"/>
      <c r="K974" s="6"/>
    </row>
    <row r="975">
      <c r="B975" s="6"/>
      <c r="D975" s="7"/>
      <c r="K975" s="6"/>
    </row>
    <row r="976">
      <c r="B976" s="6"/>
      <c r="D976" s="7"/>
      <c r="K976" s="6"/>
    </row>
    <row r="977">
      <c r="B977" s="6"/>
      <c r="D977" s="7"/>
      <c r="K977" s="6"/>
    </row>
    <row r="978">
      <c r="B978" s="6"/>
      <c r="D978" s="7"/>
      <c r="K978" s="6"/>
    </row>
    <row r="979">
      <c r="B979" s="6"/>
      <c r="D979" s="7"/>
      <c r="K979" s="6"/>
    </row>
    <row r="980">
      <c r="B980" s="6"/>
      <c r="D980" s="7"/>
      <c r="K980" s="6"/>
    </row>
    <row r="981">
      <c r="B981" s="6"/>
      <c r="D981" s="7"/>
      <c r="K981" s="6"/>
    </row>
    <row r="982">
      <c r="B982" s="6"/>
      <c r="D982" s="7"/>
      <c r="K982" s="6"/>
    </row>
    <row r="983">
      <c r="B983" s="6"/>
      <c r="D983" s="7"/>
      <c r="K983" s="6"/>
    </row>
    <row r="984">
      <c r="B984" s="6"/>
      <c r="D984" s="7"/>
      <c r="K984" s="6"/>
    </row>
    <row r="985">
      <c r="B985" s="6"/>
      <c r="D985" s="7"/>
      <c r="K985" s="6"/>
    </row>
    <row r="986">
      <c r="B986" s="6"/>
      <c r="D986" s="7"/>
      <c r="K986" s="6"/>
    </row>
    <row r="987">
      <c r="B987" s="6"/>
      <c r="D987" s="7"/>
      <c r="K987" s="6"/>
    </row>
    <row r="988">
      <c r="B988" s="6"/>
      <c r="D988" s="7"/>
      <c r="K988" s="6"/>
    </row>
    <row r="989">
      <c r="B989" s="6"/>
      <c r="D989" s="7"/>
      <c r="K989" s="6"/>
    </row>
    <row r="990">
      <c r="B990" s="6"/>
      <c r="D990" s="7"/>
      <c r="K990" s="6"/>
    </row>
  </sheetData>
  <mergeCells count="1">
    <mergeCell ref="A1:D1"/>
  </mergeCells>
  <dataValidations>
    <dataValidation type="list" allowBlank="1" showErrorMessage="1" sqref="E4:E184">
      <formula1>"Song Huy,Ngọc Quyên,Văn Hoàng,Phương Thảo,Hoàng Vũ"</formula1>
    </dataValidation>
    <dataValidation type="list" allowBlank="1" showErrorMessage="1" sqref="G5:G214">
      <formula1>"Not Started ,In Progress,In Review ,Blocked,Completed"</formula1>
    </dataValidation>
    <dataValidation type="list" allowBlank="1" showErrorMessage="1" sqref="G4">
      <formula1>"Not Started,In Progress,In Review,Blocked,Completed"</formula1>
    </dataValidation>
    <dataValidation type="list" allowBlank="1" showErrorMessage="1" sqref="F4:F184">
      <formula1>"Critical,High,Medium,Low"</formula1>
    </dataValidation>
    <dataValidation type="list" allowBlank="1" showErrorMessage="1" sqref="C4:C184">
      <formula1>"Mobile FE,Web FE,API,Database,Documentation"</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2" max="2" width="24.75"/>
    <col customWidth="1" min="5" max="5" width="38.88"/>
    <col customWidth="1" min="10" max="10" width="47.88"/>
  </cols>
  <sheetData>
    <row r="1">
      <c r="A1" s="21" t="s">
        <v>233</v>
      </c>
      <c r="B1" s="21" t="s">
        <v>234</v>
      </c>
      <c r="C1" s="21" t="s">
        <v>235</v>
      </c>
      <c r="D1" s="21" t="s">
        <v>236</v>
      </c>
      <c r="E1" s="21" t="s">
        <v>237</v>
      </c>
      <c r="F1" s="21" t="s">
        <v>238</v>
      </c>
      <c r="G1" s="21" t="s">
        <v>239</v>
      </c>
      <c r="H1" s="21" t="s">
        <v>240</v>
      </c>
      <c r="I1" s="21" t="s">
        <v>241</v>
      </c>
      <c r="J1" s="17" t="s">
        <v>242</v>
      </c>
      <c r="K1" s="21" t="s">
        <v>243</v>
      </c>
      <c r="L1" s="21" t="s">
        <v>244</v>
      </c>
      <c r="M1" s="21" t="s">
        <v>245</v>
      </c>
      <c r="N1" s="21" t="s">
        <v>246</v>
      </c>
      <c r="O1" s="21" t="s">
        <v>247</v>
      </c>
      <c r="P1" s="21" t="s">
        <v>248</v>
      </c>
      <c r="Q1" s="21" t="s">
        <v>249</v>
      </c>
      <c r="R1" s="21" t="s">
        <v>250</v>
      </c>
    </row>
    <row r="2">
      <c r="A2" s="21" t="s">
        <v>251</v>
      </c>
      <c r="B2" s="21" t="s">
        <v>252</v>
      </c>
      <c r="C2" s="21" t="s">
        <v>253</v>
      </c>
      <c r="D2" s="21" t="s">
        <v>254</v>
      </c>
      <c r="E2" s="21" t="s">
        <v>255</v>
      </c>
      <c r="F2" s="21" t="s">
        <v>256</v>
      </c>
      <c r="G2" s="21" t="s">
        <v>257</v>
      </c>
      <c r="H2" s="21" t="s">
        <v>258</v>
      </c>
      <c r="I2" s="21" t="s">
        <v>256</v>
      </c>
      <c r="J2" s="17" t="s">
        <v>259</v>
      </c>
      <c r="K2" s="21" t="s">
        <v>260</v>
      </c>
      <c r="L2" s="21" t="s">
        <v>261</v>
      </c>
      <c r="Q2" s="21" t="s">
        <v>262</v>
      </c>
      <c r="R2" s="21" t="s">
        <v>263</v>
      </c>
    </row>
    <row r="3">
      <c r="A3" s="21" t="s">
        <v>264</v>
      </c>
      <c r="B3" s="21" t="s">
        <v>252</v>
      </c>
      <c r="C3" s="21" t="s">
        <v>265</v>
      </c>
      <c r="D3" s="21" t="s">
        <v>266</v>
      </c>
      <c r="E3" s="21" t="s">
        <v>267</v>
      </c>
      <c r="F3" s="21" t="s">
        <v>256</v>
      </c>
      <c r="G3" s="21" t="s">
        <v>257</v>
      </c>
      <c r="H3" s="21" t="s">
        <v>258</v>
      </c>
      <c r="I3" s="21" t="s">
        <v>256</v>
      </c>
      <c r="J3" s="17" t="s">
        <v>268</v>
      </c>
      <c r="K3" s="21" t="s">
        <v>269</v>
      </c>
      <c r="L3" s="21" t="s">
        <v>270</v>
      </c>
      <c r="Q3" s="21" t="s">
        <v>262</v>
      </c>
      <c r="R3" s="21" t="s">
        <v>271</v>
      </c>
    </row>
    <row r="4">
      <c r="A4" s="21">
        <v>1.0</v>
      </c>
      <c r="B4" s="21" t="s">
        <v>272</v>
      </c>
      <c r="D4" s="21" t="s">
        <v>114</v>
      </c>
      <c r="E4" s="21" t="s">
        <v>273</v>
      </c>
      <c r="F4" s="21" t="s">
        <v>274</v>
      </c>
      <c r="G4" s="21" t="s">
        <v>275</v>
      </c>
      <c r="H4" s="21" t="s">
        <v>276</v>
      </c>
      <c r="I4" s="21" t="s">
        <v>277</v>
      </c>
      <c r="J4" s="17" t="s">
        <v>278</v>
      </c>
      <c r="L4" s="21" t="s">
        <v>279</v>
      </c>
      <c r="O4" s="21" t="s">
        <v>280</v>
      </c>
      <c r="P4" s="21">
        <v>200.0</v>
      </c>
      <c r="Q4" s="21" t="s">
        <v>281</v>
      </c>
      <c r="R4" s="21" t="s">
        <v>282</v>
      </c>
    </row>
    <row r="5">
      <c r="A5" s="21">
        <v>2.0</v>
      </c>
      <c r="B5" s="21" t="s">
        <v>283</v>
      </c>
      <c r="C5" s="21" t="s">
        <v>284</v>
      </c>
      <c r="D5" s="21" t="s">
        <v>31</v>
      </c>
      <c r="E5" s="21" t="s">
        <v>285</v>
      </c>
      <c r="F5" s="21" t="s">
        <v>286</v>
      </c>
      <c r="G5" s="21" t="s">
        <v>287</v>
      </c>
      <c r="H5" s="21" t="s">
        <v>276</v>
      </c>
      <c r="I5" s="21" t="s">
        <v>277</v>
      </c>
      <c r="J5" s="17" t="s">
        <v>288</v>
      </c>
      <c r="K5" s="21" t="s">
        <v>289</v>
      </c>
      <c r="L5" s="21" t="s">
        <v>290</v>
      </c>
      <c r="N5" s="21" t="s">
        <v>291</v>
      </c>
      <c r="O5" s="21" t="s">
        <v>292</v>
      </c>
      <c r="P5" s="21" t="s">
        <v>293</v>
      </c>
      <c r="Q5" s="21" t="s">
        <v>262</v>
      </c>
      <c r="R5" s="21" t="s">
        <v>294</v>
      </c>
    </row>
    <row r="6">
      <c r="A6" s="21">
        <v>3.0</v>
      </c>
      <c r="B6" s="21" t="s">
        <v>283</v>
      </c>
      <c r="C6" s="21" t="s">
        <v>295</v>
      </c>
      <c r="D6" s="21" t="s">
        <v>39</v>
      </c>
      <c r="E6" s="21" t="s">
        <v>296</v>
      </c>
      <c r="F6" s="21" t="s">
        <v>286</v>
      </c>
      <c r="G6" s="21" t="s">
        <v>297</v>
      </c>
      <c r="H6" s="21" t="s">
        <v>276</v>
      </c>
      <c r="I6" s="21" t="s">
        <v>277</v>
      </c>
      <c r="J6" s="17" t="s">
        <v>298</v>
      </c>
      <c r="K6" s="21" t="s">
        <v>299</v>
      </c>
      <c r="L6" s="21" t="s">
        <v>300</v>
      </c>
      <c r="N6" s="21" t="s">
        <v>301</v>
      </c>
      <c r="O6" s="21" t="s">
        <v>292</v>
      </c>
      <c r="P6" s="21" t="s">
        <v>302</v>
      </c>
      <c r="Q6" s="21" t="s">
        <v>262</v>
      </c>
      <c r="R6" s="21" t="s">
        <v>303</v>
      </c>
    </row>
    <row r="7">
      <c r="A7" s="21">
        <v>4.0</v>
      </c>
      <c r="B7" s="21" t="s">
        <v>283</v>
      </c>
      <c r="C7" s="21" t="s">
        <v>304</v>
      </c>
      <c r="D7" s="21" t="s">
        <v>39</v>
      </c>
      <c r="E7" s="21" t="s">
        <v>305</v>
      </c>
      <c r="F7" s="21" t="s">
        <v>286</v>
      </c>
      <c r="G7" s="21" t="s">
        <v>306</v>
      </c>
      <c r="H7" s="21" t="s">
        <v>276</v>
      </c>
      <c r="I7" s="21" t="s">
        <v>277</v>
      </c>
      <c r="J7" s="17" t="s">
        <v>307</v>
      </c>
      <c r="K7" s="21" t="s">
        <v>308</v>
      </c>
      <c r="L7" s="21" t="s">
        <v>300</v>
      </c>
      <c r="N7" s="21" t="s">
        <v>309</v>
      </c>
      <c r="O7" s="21" t="s">
        <v>292</v>
      </c>
      <c r="P7" s="21" t="s">
        <v>302</v>
      </c>
      <c r="Q7" s="21" t="s">
        <v>262</v>
      </c>
      <c r="R7" s="21" t="s">
        <v>310</v>
      </c>
    </row>
    <row r="8">
      <c r="A8" s="21">
        <v>5.0</v>
      </c>
      <c r="B8" s="21" t="s">
        <v>283</v>
      </c>
      <c r="C8" s="21" t="s">
        <v>295</v>
      </c>
      <c r="D8" s="21" t="s">
        <v>39</v>
      </c>
      <c r="E8" s="21" t="s">
        <v>311</v>
      </c>
      <c r="F8" s="21" t="s">
        <v>274</v>
      </c>
      <c r="G8" s="21" t="s">
        <v>312</v>
      </c>
      <c r="H8" s="21" t="s">
        <v>258</v>
      </c>
      <c r="I8" s="21" t="s">
        <v>277</v>
      </c>
      <c r="J8" s="17" t="s">
        <v>313</v>
      </c>
      <c r="K8" s="21" t="s">
        <v>314</v>
      </c>
      <c r="L8" s="21" t="s">
        <v>315</v>
      </c>
      <c r="O8" s="21" t="s">
        <v>316</v>
      </c>
      <c r="P8" s="21">
        <v>401.0</v>
      </c>
      <c r="Q8" s="21" t="s">
        <v>262</v>
      </c>
      <c r="R8" s="21" t="s">
        <v>317</v>
      </c>
    </row>
    <row r="9">
      <c r="A9" s="21">
        <v>6.0</v>
      </c>
      <c r="B9" s="21" t="s">
        <v>283</v>
      </c>
      <c r="C9" s="21" t="s">
        <v>318</v>
      </c>
      <c r="D9" s="21" t="s">
        <v>53</v>
      </c>
      <c r="E9" s="21" t="s">
        <v>319</v>
      </c>
      <c r="F9" s="21" t="s">
        <v>286</v>
      </c>
      <c r="G9" s="21" t="s">
        <v>320</v>
      </c>
      <c r="H9" s="21" t="s">
        <v>276</v>
      </c>
      <c r="I9" s="21" t="s">
        <v>277</v>
      </c>
      <c r="J9" s="17" t="s">
        <v>321</v>
      </c>
      <c r="K9" s="21" t="s">
        <v>322</v>
      </c>
      <c r="L9" s="21" t="s">
        <v>323</v>
      </c>
      <c r="N9" s="21" t="s">
        <v>324</v>
      </c>
      <c r="O9" s="21" t="s">
        <v>325</v>
      </c>
      <c r="P9" s="21" t="s">
        <v>256</v>
      </c>
      <c r="Q9" s="21" t="s">
        <v>326</v>
      </c>
      <c r="R9" s="21" t="s">
        <v>327</v>
      </c>
    </row>
    <row r="10">
      <c r="A10" s="21">
        <v>7.0</v>
      </c>
      <c r="B10" s="21" t="s">
        <v>283</v>
      </c>
      <c r="C10" s="21" t="s">
        <v>318</v>
      </c>
      <c r="D10" s="21" t="s">
        <v>53</v>
      </c>
      <c r="E10" s="21" t="s">
        <v>328</v>
      </c>
      <c r="F10" s="21" t="s">
        <v>286</v>
      </c>
      <c r="G10" s="21" t="s">
        <v>329</v>
      </c>
      <c r="H10" s="21" t="s">
        <v>276</v>
      </c>
      <c r="I10" s="21" t="s">
        <v>277</v>
      </c>
      <c r="J10" s="17" t="s">
        <v>330</v>
      </c>
      <c r="K10" s="21" t="s">
        <v>322</v>
      </c>
      <c r="L10" s="21" t="s">
        <v>331</v>
      </c>
      <c r="N10" s="21" t="s">
        <v>332</v>
      </c>
      <c r="O10" s="21" t="s">
        <v>325</v>
      </c>
      <c r="P10" s="21">
        <v>400.0</v>
      </c>
      <c r="Q10" s="21" t="s">
        <v>326</v>
      </c>
      <c r="R10" s="21" t="s">
        <v>333</v>
      </c>
    </row>
    <row r="11">
      <c r="A11" s="21">
        <v>8.0</v>
      </c>
      <c r="B11" s="21" t="s">
        <v>283</v>
      </c>
      <c r="C11" s="21" t="s">
        <v>334</v>
      </c>
      <c r="D11" s="21" t="s">
        <v>49</v>
      </c>
      <c r="E11" s="21" t="s">
        <v>86</v>
      </c>
      <c r="F11" s="21" t="s">
        <v>286</v>
      </c>
      <c r="G11" s="21" t="s">
        <v>335</v>
      </c>
      <c r="H11" s="21" t="s">
        <v>258</v>
      </c>
      <c r="I11" s="21" t="s">
        <v>277</v>
      </c>
      <c r="J11" s="17" t="s">
        <v>336</v>
      </c>
      <c r="K11" s="21" t="s">
        <v>322</v>
      </c>
      <c r="L11" s="21" t="s">
        <v>337</v>
      </c>
      <c r="N11" s="21" t="s">
        <v>338</v>
      </c>
      <c r="O11" s="21" t="s">
        <v>325</v>
      </c>
      <c r="P11" s="21">
        <v>400.0</v>
      </c>
      <c r="Q11" s="21" t="s">
        <v>326</v>
      </c>
      <c r="R11" s="21" t="s">
        <v>339</v>
      </c>
    </row>
    <row r="12">
      <c r="A12" s="21">
        <v>9.0</v>
      </c>
      <c r="B12" s="21" t="s">
        <v>283</v>
      </c>
      <c r="C12" s="21" t="s">
        <v>340</v>
      </c>
      <c r="D12" s="21" t="s">
        <v>39</v>
      </c>
      <c r="E12" s="21" t="s">
        <v>45</v>
      </c>
      <c r="F12" s="21" t="s">
        <v>286</v>
      </c>
      <c r="G12" s="21" t="s">
        <v>341</v>
      </c>
      <c r="H12" s="21" t="s">
        <v>258</v>
      </c>
      <c r="I12" s="21" t="s">
        <v>342</v>
      </c>
      <c r="J12" s="17" t="s">
        <v>87</v>
      </c>
      <c r="K12" s="21" t="s">
        <v>343</v>
      </c>
      <c r="L12" s="21" t="s">
        <v>344</v>
      </c>
      <c r="O12" s="21" t="s">
        <v>325</v>
      </c>
      <c r="P12" s="21">
        <v>401.0</v>
      </c>
      <c r="Q12" s="21" t="s">
        <v>281</v>
      </c>
      <c r="R12" s="21" t="s">
        <v>345</v>
      </c>
    </row>
    <row r="13">
      <c r="A13" s="21">
        <v>10.0</v>
      </c>
      <c r="B13" s="21" t="s">
        <v>346</v>
      </c>
      <c r="C13" s="21" t="s">
        <v>347</v>
      </c>
      <c r="D13" s="21" t="s">
        <v>49</v>
      </c>
      <c r="E13" s="21" t="s">
        <v>348</v>
      </c>
      <c r="F13" s="21" t="s">
        <v>274</v>
      </c>
      <c r="G13" s="21" t="s">
        <v>349</v>
      </c>
      <c r="H13" s="21" t="s">
        <v>258</v>
      </c>
      <c r="I13" s="21" t="s">
        <v>277</v>
      </c>
      <c r="J13" s="17" t="s">
        <v>350</v>
      </c>
      <c r="K13" s="21" t="s">
        <v>351</v>
      </c>
      <c r="L13" s="21" t="s">
        <v>352</v>
      </c>
      <c r="O13" s="21" t="s">
        <v>353</v>
      </c>
      <c r="P13" s="21">
        <v>401.0</v>
      </c>
      <c r="Q13" s="21" t="s">
        <v>262</v>
      </c>
      <c r="R13" s="21" t="s">
        <v>354</v>
      </c>
    </row>
    <row r="14">
      <c r="A14" s="21">
        <v>11.0</v>
      </c>
      <c r="B14" s="21" t="s">
        <v>346</v>
      </c>
      <c r="C14" s="21" t="s">
        <v>355</v>
      </c>
      <c r="D14" s="21" t="s">
        <v>49</v>
      </c>
      <c r="E14" s="21" t="s">
        <v>89</v>
      </c>
      <c r="F14" s="21" t="s">
        <v>356</v>
      </c>
      <c r="G14" s="21" t="s">
        <v>349</v>
      </c>
      <c r="H14" s="21" t="s">
        <v>258</v>
      </c>
      <c r="I14" s="21" t="s">
        <v>277</v>
      </c>
      <c r="J14" s="17" t="s">
        <v>90</v>
      </c>
      <c r="K14" s="21" t="s">
        <v>357</v>
      </c>
      <c r="L14" s="21" t="s">
        <v>358</v>
      </c>
      <c r="N14" s="21" t="s">
        <v>359</v>
      </c>
      <c r="O14" s="21" t="s">
        <v>316</v>
      </c>
      <c r="P14" s="21" t="s">
        <v>360</v>
      </c>
      <c r="Q14" s="21" t="s">
        <v>262</v>
      </c>
      <c r="R14" s="21" t="s">
        <v>361</v>
      </c>
    </row>
    <row r="15">
      <c r="A15" s="21">
        <v>12.0</v>
      </c>
      <c r="B15" s="21" t="s">
        <v>346</v>
      </c>
      <c r="C15" s="21" t="s">
        <v>362</v>
      </c>
      <c r="D15" s="21" t="s">
        <v>49</v>
      </c>
      <c r="E15" s="21" t="s">
        <v>92</v>
      </c>
      <c r="F15" s="21" t="s">
        <v>286</v>
      </c>
      <c r="G15" s="21" t="s">
        <v>363</v>
      </c>
      <c r="H15" s="21" t="s">
        <v>258</v>
      </c>
      <c r="I15" s="21" t="s">
        <v>277</v>
      </c>
      <c r="J15" s="17" t="s">
        <v>93</v>
      </c>
      <c r="K15" s="21" t="s">
        <v>364</v>
      </c>
      <c r="L15" s="21" t="s">
        <v>365</v>
      </c>
      <c r="N15" s="21" t="s">
        <v>366</v>
      </c>
      <c r="O15" s="21" t="s">
        <v>367</v>
      </c>
      <c r="P15" s="21" t="s">
        <v>368</v>
      </c>
      <c r="Q15" s="21" t="s">
        <v>262</v>
      </c>
      <c r="R15" s="21" t="s">
        <v>369</v>
      </c>
    </row>
    <row r="16">
      <c r="A16" s="21">
        <v>13.0</v>
      </c>
      <c r="B16" s="21" t="s">
        <v>370</v>
      </c>
      <c r="C16" s="21" t="s">
        <v>371</v>
      </c>
      <c r="D16" s="21" t="s">
        <v>88</v>
      </c>
      <c r="E16" s="21" t="s">
        <v>94</v>
      </c>
      <c r="F16" s="21" t="s">
        <v>274</v>
      </c>
      <c r="G16" s="21" t="s">
        <v>372</v>
      </c>
      <c r="H16" s="21" t="s">
        <v>258</v>
      </c>
      <c r="I16" s="21" t="s">
        <v>342</v>
      </c>
      <c r="J16" s="17" t="s">
        <v>95</v>
      </c>
      <c r="K16" s="21" t="s">
        <v>373</v>
      </c>
      <c r="L16" s="21" t="s">
        <v>374</v>
      </c>
      <c r="O16" s="21" t="s">
        <v>375</v>
      </c>
      <c r="P16" s="21">
        <v>401.0</v>
      </c>
      <c r="Q16" s="21" t="s">
        <v>326</v>
      </c>
      <c r="R16" s="21" t="s">
        <v>376</v>
      </c>
    </row>
    <row r="17">
      <c r="A17" s="21">
        <v>14.0</v>
      </c>
      <c r="B17" s="21" t="s">
        <v>377</v>
      </c>
      <c r="C17" s="21" t="s">
        <v>378</v>
      </c>
      <c r="D17" s="21" t="s">
        <v>379</v>
      </c>
      <c r="E17" s="21" t="s">
        <v>97</v>
      </c>
      <c r="F17" s="21" t="s">
        <v>274</v>
      </c>
      <c r="G17" s="21" t="s">
        <v>380</v>
      </c>
      <c r="H17" s="21" t="s">
        <v>258</v>
      </c>
      <c r="I17" s="21" t="s">
        <v>342</v>
      </c>
      <c r="J17" s="17" t="s">
        <v>98</v>
      </c>
      <c r="K17" s="21" t="s">
        <v>381</v>
      </c>
      <c r="L17" s="21" t="s">
        <v>382</v>
      </c>
      <c r="M17" s="21" t="s">
        <v>383</v>
      </c>
      <c r="O17" s="21" t="s">
        <v>384</v>
      </c>
      <c r="P17" s="21">
        <v>401.0</v>
      </c>
      <c r="Q17" s="21" t="s">
        <v>262</v>
      </c>
      <c r="R17" s="21" t="s">
        <v>385</v>
      </c>
    </row>
    <row r="18">
      <c r="A18" s="21">
        <v>15.0</v>
      </c>
      <c r="B18" s="21" t="s">
        <v>386</v>
      </c>
      <c r="C18" s="21" t="s">
        <v>387</v>
      </c>
      <c r="D18" s="21" t="s">
        <v>88</v>
      </c>
      <c r="E18" s="21" t="s">
        <v>100</v>
      </c>
      <c r="F18" s="21" t="s">
        <v>274</v>
      </c>
      <c r="G18" s="21" t="s">
        <v>388</v>
      </c>
      <c r="H18" s="21" t="s">
        <v>258</v>
      </c>
      <c r="I18" s="21" t="s">
        <v>342</v>
      </c>
      <c r="J18" s="17" t="s">
        <v>101</v>
      </c>
      <c r="K18" s="21" t="s">
        <v>389</v>
      </c>
      <c r="L18" s="21" t="s">
        <v>390</v>
      </c>
      <c r="O18" s="21" t="s">
        <v>391</v>
      </c>
      <c r="P18" s="21">
        <v>401.0</v>
      </c>
      <c r="Q18" s="21" t="s">
        <v>326</v>
      </c>
      <c r="R18" s="21" t="s">
        <v>392</v>
      </c>
    </row>
    <row r="19">
      <c r="A19" s="21">
        <v>16.0</v>
      </c>
      <c r="B19" s="21" t="s">
        <v>386</v>
      </c>
      <c r="C19" s="21" t="s">
        <v>387</v>
      </c>
      <c r="D19" s="21" t="s">
        <v>88</v>
      </c>
      <c r="E19" s="21" t="s">
        <v>103</v>
      </c>
      <c r="F19" s="21" t="s">
        <v>286</v>
      </c>
      <c r="G19" s="21" t="s">
        <v>388</v>
      </c>
      <c r="H19" s="21" t="s">
        <v>258</v>
      </c>
      <c r="I19" s="21" t="s">
        <v>342</v>
      </c>
      <c r="J19" s="17" t="s">
        <v>104</v>
      </c>
      <c r="K19" s="21" t="s">
        <v>389</v>
      </c>
      <c r="L19" s="21" t="s">
        <v>393</v>
      </c>
      <c r="N19" s="21" t="s">
        <v>394</v>
      </c>
      <c r="O19" s="21" t="s">
        <v>395</v>
      </c>
      <c r="P19" s="21">
        <v>401.0</v>
      </c>
      <c r="Q19" s="21" t="s">
        <v>326</v>
      </c>
      <c r="R19" s="21" t="s">
        <v>396</v>
      </c>
    </row>
    <row r="20">
      <c r="A20" s="21">
        <v>17.0</v>
      </c>
      <c r="B20" s="21" t="s">
        <v>386</v>
      </c>
      <c r="C20" s="21" t="s">
        <v>387</v>
      </c>
      <c r="D20" s="21" t="s">
        <v>88</v>
      </c>
      <c r="E20" s="21" t="s">
        <v>105</v>
      </c>
      <c r="F20" s="21" t="s">
        <v>356</v>
      </c>
      <c r="G20" s="21" t="s">
        <v>397</v>
      </c>
      <c r="H20" s="21" t="s">
        <v>258</v>
      </c>
      <c r="I20" s="21" t="s">
        <v>342</v>
      </c>
      <c r="J20" s="17" t="s">
        <v>106</v>
      </c>
      <c r="K20" s="21" t="s">
        <v>389</v>
      </c>
      <c r="L20" s="21" t="s">
        <v>390</v>
      </c>
      <c r="N20" s="21" t="s">
        <v>398</v>
      </c>
      <c r="O20" s="21" t="s">
        <v>395</v>
      </c>
      <c r="P20" s="21">
        <v>404.0</v>
      </c>
      <c r="Q20" s="21" t="s">
        <v>326</v>
      </c>
    </row>
    <row r="21">
      <c r="A21" s="21">
        <v>18.0</v>
      </c>
      <c r="B21" s="21" t="s">
        <v>386</v>
      </c>
      <c r="C21" s="21" t="s">
        <v>387</v>
      </c>
      <c r="D21" s="21" t="s">
        <v>88</v>
      </c>
      <c r="E21" s="21" t="s">
        <v>107</v>
      </c>
      <c r="F21" s="21" t="s">
        <v>399</v>
      </c>
      <c r="G21" s="21" t="s">
        <v>397</v>
      </c>
      <c r="H21" s="21" t="s">
        <v>258</v>
      </c>
      <c r="I21" s="21" t="s">
        <v>342</v>
      </c>
      <c r="J21" s="17" t="s">
        <v>108</v>
      </c>
      <c r="K21" s="21" t="s">
        <v>389</v>
      </c>
      <c r="L21" s="21" t="s">
        <v>390</v>
      </c>
      <c r="O21" s="21" t="s">
        <v>325</v>
      </c>
      <c r="P21" s="21">
        <v>404.0</v>
      </c>
      <c r="Q21" s="21" t="s">
        <v>281</v>
      </c>
    </row>
    <row r="22">
      <c r="A22" s="21">
        <v>19.0</v>
      </c>
      <c r="B22" s="21" t="s">
        <v>377</v>
      </c>
      <c r="C22" s="21" t="s">
        <v>400</v>
      </c>
      <c r="D22" s="21" t="s">
        <v>379</v>
      </c>
      <c r="E22" s="21" t="s">
        <v>109</v>
      </c>
      <c r="F22" s="21" t="s">
        <v>286</v>
      </c>
      <c r="G22" s="21" t="s">
        <v>401</v>
      </c>
      <c r="H22" s="21" t="s">
        <v>258</v>
      </c>
      <c r="I22" s="21" t="s">
        <v>342</v>
      </c>
      <c r="J22" s="17" t="s">
        <v>110</v>
      </c>
      <c r="K22" s="21" t="s">
        <v>402</v>
      </c>
      <c r="L22" s="21" t="s">
        <v>382</v>
      </c>
      <c r="N22" s="21" t="s">
        <v>403</v>
      </c>
      <c r="O22" s="21" t="s">
        <v>404</v>
      </c>
      <c r="P22" s="21">
        <v>400.0</v>
      </c>
      <c r="Q22" s="21" t="s">
        <v>262</v>
      </c>
      <c r="R22" s="21" t="s">
        <v>405</v>
      </c>
    </row>
    <row r="23">
      <c r="A23" s="21">
        <v>20.0</v>
      </c>
      <c r="B23" s="21" t="s">
        <v>377</v>
      </c>
      <c r="C23" s="21" t="s">
        <v>406</v>
      </c>
      <c r="D23" s="21" t="s">
        <v>82</v>
      </c>
      <c r="E23" s="21" t="s">
        <v>112</v>
      </c>
      <c r="F23" s="21" t="s">
        <v>274</v>
      </c>
      <c r="G23" s="21" t="s">
        <v>407</v>
      </c>
      <c r="H23" s="21" t="s">
        <v>258</v>
      </c>
      <c r="I23" s="21" t="s">
        <v>342</v>
      </c>
      <c r="J23" s="17" t="s">
        <v>113</v>
      </c>
      <c r="K23" s="21" t="s">
        <v>408</v>
      </c>
      <c r="L23" s="21" t="s">
        <v>409</v>
      </c>
      <c r="M23" s="21" t="s">
        <v>410</v>
      </c>
      <c r="O23" s="21" t="s">
        <v>411</v>
      </c>
      <c r="P23" s="21">
        <v>401.0</v>
      </c>
      <c r="Q23" s="21" t="s">
        <v>262</v>
      </c>
      <c r="R23" s="21" t="s">
        <v>412</v>
      </c>
    </row>
    <row r="24">
      <c r="A24" s="21">
        <v>21.0</v>
      </c>
      <c r="B24" s="21" t="s">
        <v>377</v>
      </c>
      <c r="D24" s="21" t="s">
        <v>413</v>
      </c>
      <c r="E24" s="21" t="s">
        <v>115</v>
      </c>
      <c r="F24" s="21" t="s">
        <v>274</v>
      </c>
      <c r="G24" s="21" t="s">
        <v>414</v>
      </c>
      <c r="H24" s="21" t="s">
        <v>258</v>
      </c>
      <c r="I24" s="21" t="s">
        <v>342</v>
      </c>
      <c r="J24" s="17" t="s">
        <v>116</v>
      </c>
      <c r="K24" s="21" t="s">
        <v>402</v>
      </c>
      <c r="L24" s="21" t="s">
        <v>415</v>
      </c>
      <c r="O24" s="21" t="s">
        <v>416</v>
      </c>
      <c r="P24" s="21">
        <v>401.0</v>
      </c>
      <c r="Q24" s="21" t="s">
        <v>326</v>
      </c>
    </row>
    <row r="25">
      <c r="A25" s="21">
        <v>22.0</v>
      </c>
      <c r="B25" s="21" t="s">
        <v>377</v>
      </c>
      <c r="C25" s="21" t="s">
        <v>417</v>
      </c>
      <c r="D25" s="21" t="s">
        <v>77</v>
      </c>
      <c r="E25" s="21" t="s">
        <v>118</v>
      </c>
      <c r="F25" s="21" t="s">
        <v>274</v>
      </c>
      <c r="G25" s="21" t="s">
        <v>418</v>
      </c>
      <c r="H25" s="21" t="s">
        <v>258</v>
      </c>
      <c r="I25" s="21" t="s">
        <v>277</v>
      </c>
      <c r="J25" s="17" t="s">
        <v>119</v>
      </c>
      <c r="K25" s="21" t="s">
        <v>419</v>
      </c>
      <c r="L25" s="21" t="s">
        <v>420</v>
      </c>
      <c r="M25" s="21" t="s">
        <v>421</v>
      </c>
      <c r="O25" s="21" t="s">
        <v>422</v>
      </c>
      <c r="P25" s="21">
        <v>401.0</v>
      </c>
      <c r="Q25" s="21" t="s">
        <v>262</v>
      </c>
      <c r="R25" s="21" t="s">
        <v>423</v>
      </c>
    </row>
    <row r="26">
      <c r="A26" s="21">
        <v>23.0</v>
      </c>
      <c r="B26" s="21" t="s">
        <v>377</v>
      </c>
      <c r="C26" s="21" t="s">
        <v>424</v>
      </c>
      <c r="D26" s="21" t="s">
        <v>77</v>
      </c>
      <c r="E26" s="21" t="s">
        <v>121</v>
      </c>
      <c r="F26" s="21" t="s">
        <v>274</v>
      </c>
      <c r="G26" s="21" t="s">
        <v>425</v>
      </c>
      <c r="H26" s="21" t="s">
        <v>258</v>
      </c>
      <c r="I26" s="21" t="s">
        <v>342</v>
      </c>
      <c r="J26" s="17" t="s">
        <v>122</v>
      </c>
      <c r="K26" s="21" t="s">
        <v>426</v>
      </c>
      <c r="L26" s="21" t="s">
        <v>427</v>
      </c>
      <c r="O26" s="21" t="s">
        <v>428</v>
      </c>
      <c r="P26" s="21">
        <v>404.0</v>
      </c>
      <c r="Q26" s="21" t="s">
        <v>326</v>
      </c>
    </row>
    <row r="27">
      <c r="A27" s="21">
        <v>24.0</v>
      </c>
      <c r="B27" s="21" t="s">
        <v>377</v>
      </c>
      <c r="C27" s="21" t="s">
        <v>429</v>
      </c>
      <c r="D27" s="21" t="s">
        <v>430</v>
      </c>
      <c r="E27" s="21" t="s">
        <v>124</v>
      </c>
      <c r="F27" s="21" t="s">
        <v>274</v>
      </c>
      <c r="G27" s="21" t="s">
        <v>431</v>
      </c>
      <c r="H27" s="21" t="s">
        <v>258</v>
      </c>
      <c r="I27" s="21" t="s">
        <v>342</v>
      </c>
      <c r="J27" s="17" t="s">
        <v>125</v>
      </c>
      <c r="K27" s="21" t="s">
        <v>432</v>
      </c>
      <c r="L27" s="21" t="s">
        <v>433</v>
      </c>
      <c r="M27" s="21" t="s">
        <v>434</v>
      </c>
      <c r="O27" s="21" t="s">
        <v>435</v>
      </c>
      <c r="P27" s="21">
        <v>401.0</v>
      </c>
      <c r="Q27" s="21" t="s">
        <v>326</v>
      </c>
      <c r="R27" s="21" t="s">
        <v>436</v>
      </c>
    </row>
    <row r="28">
      <c r="A28" s="21">
        <v>25.0</v>
      </c>
      <c r="B28" s="21" t="s">
        <v>377</v>
      </c>
      <c r="C28" s="21" t="s">
        <v>437</v>
      </c>
      <c r="D28" s="21" t="s">
        <v>413</v>
      </c>
      <c r="E28" s="21" t="s">
        <v>127</v>
      </c>
      <c r="F28" s="21" t="s">
        <v>286</v>
      </c>
      <c r="G28" s="21" t="s">
        <v>438</v>
      </c>
      <c r="H28" s="21" t="s">
        <v>258</v>
      </c>
      <c r="I28" s="21" t="s">
        <v>342</v>
      </c>
      <c r="J28" s="17" t="s">
        <v>128</v>
      </c>
      <c r="K28" s="21" t="s">
        <v>402</v>
      </c>
      <c r="L28" s="21" t="s">
        <v>439</v>
      </c>
      <c r="N28" s="21" t="s">
        <v>440</v>
      </c>
      <c r="O28" s="21" t="s">
        <v>441</v>
      </c>
      <c r="P28" s="21">
        <v>400.0</v>
      </c>
      <c r="Q28" s="21" t="s">
        <v>262</v>
      </c>
      <c r="R28" s="21" t="s">
        <v>442</v>
      </c>
    </row>
    <row r="29">
      <c r="A29" s="21">
        <v>26.0</v>
      </c>
      <c r="B29" s="21" t="s">
        <v>443</v>
      </c>
      <c r="C29" s="21" t="s">
        <v>444</v>
      </c>
      <c r="D29" s="21" t="s">
        <v>88</v>
      </c>
      <c r="E29" s="21" t="s">
        <v>130</v>
      </c>
      <c r="F29" s="21" t="s">
        <v>286</v>
      </c>
      <c r="G29" s="21" t="s">
        <v>445</v>
      </c>
      <c r="H29" s="21" t="s">
        <v>258</v>
      </c>
      <c r="I29" s="21" t="s">
        <v>342</v>
      </c>
      <c r="J29" s="17" t="s">
        <v>131</v>
      </c>
      <c r="K29" s="21" t="s">
        <v>446</v>
      </c>
      <c r="L29" s="21" t="s">
        <v>439</v>
      </c>
      <c r="N29" s="21" t="s">
        <v>447</v>
      </c>
      <c r="O29" s="21" t="s">
        <v>448</v>
      </c>
      <c r="P29" s="21">
        <v>400.0</v>
      </c>
      <c r="Q29" s="21" t="s">
        <v>326</v>
      </c>
    </row>
    <row r="30">
      <c r="A30" s="21">
        <v>27.0</v>
      </c>
      <c r="B30" s="21" t="s">
        <v>443</v>
      </c>
      <c r="C30" s="21" t="s">
        <v>449</v>
      </c>
      <c r="D30" s="21" t="s">
        <v>111</v>
      </c>
      <c r="E30" s="21" t="s">
        <v>133</v>
      </c>
      <c r="F30" s="21" t="s">
        <v>274</v>
      </c>
      <c r="G30" s="21" t="s">
        <v>450</v>
      </c>
      <c r="H30" s="21" t="s">
        <v>258</v>
      </c>
      <c r="I30" s="21" t="s">
        <v>342</v>
      </c>
      <c r="J30" s="17" t="s">
        <v>134</v>
      </c>
      <c r="K30" s="21" t="s">
        <v>451</v>
      </c>
      <c r="L30" s="21" t="s">
        <v>452</v>
      </c>
      <c r="O30" s="21" t="s">
        <v>453</v>
      </c>
      <c r="P30" s="21">
        <v>401.0</v>
      </c>
      <c r="Q30" s="21" t="s">
        <v>281</v>
      </c>
    </row>
    <row r="31">
      <c r="A31" s="21">
        <v>28.0</v>
      </c>
      <c r="B31" s="21" t="s">
        <v>454</v>
      </c>
      <c r="C31" s="21" t="s">
        <v>455</v>
      </c>
      <c r="D31" s="21" t="s">
        <v>456</v>
      </c>
      <c r="E31" s="21" t="s">
        <v>136</v>
      </c>
      <c r="F31" s="21" t="s">
        <v>274</v>
      </c>
      <c r="G31" s="21" t="s">
        <v>457</v>
      </c>
      <c r="H31" s="21" t="s">
        <v>258</v>
      </c>
      <c r="I31" s="21" t="s">
        <v>277</v>
      </c>
      <c r="J31" s="17" t="s">
        <v>137</v>
      </c>
      <c r="K31" s="21" t="s">
        <v>458</v>
      </c>
      <c r="L31" s="21" t="s">
        <v>459</v>
      </c>
      <c r="M31" s="21" t="s">
        <v>460</v>
      </c>
      <c r="O31" s="21" t="s">
        <v>461</v>
      </c>
      <c r="P31" s="21">
        <v>401.0</v>
      </c>
      <c r="Q31" s="21" t="s">
        <v>262</v>
      </c>
      <c r="R31" s="21" t="s">
        <v>462</v>
      </c>
    </row>
    <row r="32">
      <c r="A32" s="21">
        <v>29.0</v>
      </c>
      <c r="B32" s="21" t="s">
        <v>454</v>
      </c>
      <c r="C32" s="21" t="s">
        <v>455</v>
      </c>
      <c r="D32" s="21" t="s">
        <v>456</v>
      </c>
      <c r="E32" s="21" t="s">
        <v>139</v>
      </c>
      <c r="F32" s="21" t="s">
        <v>274</v>
      </c>
      <c r="G32" s="21" t="s">
        <v>463</v>
      </c>
      <c r="H32" s="21" t="s">
        <v>258</v>
      </c>
      <c r="I32" s="21" t="s">
        <v>277</v>
      </c>
      <c r="J32" s="17" t="s">
        <v>140</v>
      </c>
      <c r="K32" s="21" t="s">
        <v>464</v>
      </c>
      <c r="L32" s="21" t="s">
        <v>465</v>
      </c>
      <c r="O32" s="21" t="s">
        <v>466</v>
      </c>
      <c r="P32" s="21">
        <v>404.0</v>
      </c>
      <c r="Q32" s="21" t="s">
        <v>262</v>
      </c>
    </row>
    <row r="33">
      <c r="A33" s="21">
        <v>30.0</v>
      </c>
      <c r="B33" s="21" t="s">
        <v>454</v>
      </c>
      <c r="C33" s="21" t="s">
        <v>467</v>
      </c>
      <c r="D33" s="21" t="s">
        <v>430</v>
      </c>
      <c r="E33" s="21" t="s">
        <v>142</v>
      </c>
      <c r="F33" s="21" t="s">
        <v>286</v>
      </c>
      <c r="G33" s="21" t="s">
        <v>457</v>
      </c>
      <c r="H33" s="21" t="s">
        <v>258</v>
      </c>
      <c r="I33" s="21" t="s">
        <v>277</v>
      </c>
      <c r="J33" s="17" t="s">
        <v>143</v>
      </c>
      <c r="K33" s="21" t="s">
        <v>468</v>
      </c>
      <c r="L33" s="21" t="s">
        <v>439</v>
      </c>
      <c r="N33" s="21" t="s">
        <v>469</v>
      </c>
      <c r="O33" s="21" t="s">
        <v>470</v>
      </c>
      <c r="P33" s="21">
        <v>422.0</v>
      </c>
      <c r="Q33" s="21" t="s">
        <v>262</v>
      </c>
      <c r="R33" s="21" t="s">
        <v>471</v>
      </c>
    </row>
    <row r="34">
      <c r="A34" s="21">
        <v>31.0</v>
      </c>
      <c r="B34" s="21" t="s">
        <v>454</v>
      </c>
      <c r="C34" s="21" t="s">
        <v>472</v>
      </c>
      <c r="D34" s="21" t="s">
        <v>430</v>
      </c>
      <c r="E34" s="21" t="s">
        <v>145</v>
      </c>
      <c r="F34" s="21" t="s">
        <v>286</v>
      </c>
      <c r="G34" s="21" t="s">
        <v>473</v>
      </c>
      <c r="H34" s="21" t="s">
        <v>258</v>
      </c>
      <c r="I34" s="21" t="s">
        <v>342</v>
      </c>
      <c r="J34" s="17" t="s">
        <v>146</v>
      </c>
      <c r="K34" s="21" t="s">
        <v>432</v>
      </c>
      <c r="L34" s="21" t="s">
        <v>474</v>
      </c>
      <c r="N34" s="21" t="s">
        <v>475</v>
      </c>
      <c r="O34" s="21" t="s">
        <v>466</v>
      </c>
      <c r="P34" s="21">
        <v>401.0</v>
      </c>
      <c r="Q34" s="21" t="s">
        <v>326</v>
      </c>
    </row>
    <row r="35">
      <c r="A35" s="21">
        <v>32.0</v>
      </c>
      <c r="B35" s="21" t="s">
        <v>454</v>
      </c>
      <c r="C35" s="21" t="s">
        <v>476</v>
      </c>
      <c r="D35" s="21" t="s">
        <v>150</v>
      </c>
      <c r="E35" s="21" t="s">
        <v>148</v>
      </c>
      <c r="F35" s="21" t="s">
        <v>356</v>
      </c>
      <c r="G35" s="21" t="s">
        <v>477</v>
      </c>
      <c r="H35" s="21" t="s">
        <v>258</v>
      </c>
      <c r="I35" s="21" t="s">
        <v>342</v>
      </c>
      <c r="J35" s="17" t="s">
        <v>149</v>
      </c>
      <c r="K35" s="21" t="s">
        <v>464</v>
      </c>
      <c r="L35" s="21" t="s">
        <v>478</v>
      </c>
      <c r="N35" s="21" t="s">
        <v>479</v>
      </c>
      <c r="O35" s="21" t="s">
        <v>480</v>
      </c>
      <c r="P35" s="21">
        <v>400.0</v>
      </c>
      <c r="Q35" s="21" t="s">
        <v>326</v>
      </c>
    </row>
    <row r="36">
      <c r="A36" s="21">
        <v>33.0</v>
      </c>
      <c r="B36" s="21" t="s">
        <v>454</v>
      </c>
      <c r="C36" s="21" t="s">
        <v>481</v>
      </c>
      <c r="D36" s="21" t="s">
        <v>150</v>
      </c>
      <c r="E36" s="21" t="s">
        <v>151</v>
      </c>
      <c r="F36" s="21" t="s">
        <v>286</v>
      </c>
      <c r="G36" s="21" t="s">
        <v>482</v>
      </c>
      <c r="H36" s="21" t="s">
        <v>258</v>
      </c>
      <c r="I36" s="21" t="s">
        <v>342</v>
      </c>
      <c r="J36" s="17" t="s">
        <v>152</v>
      </c>
      <c r="K36" s="21" t="s">
        <v>483</v>
      </c>
      <c r="L36" s="21" t="s">
        <v>465</v>
      </c>
      <c r="O36" s="21" t="s">
        <v>484</v>
      </c>
      <c r="P36" s="21">
        <v>400.0</v>
      </c>
      <c r="Q36" s="21" t="s">
        <v>326</v>
      </c>
    </row>
    <row r="37">
      <c r="A37" s="21">
        <v>34.0</v>
      </c>
      <c r="B37" s="21" t="s">
        <v>485</v>
      </c>
      <c r="C37" s="21" t="s">
        <v>486</v>
      </c>
      <c r="D37" s="21" t="s">
        <v>150</v>
      </c>
      <c r="E37" s="21" t="s">
        <v>154</v>
      </c>
      <c r="F37" s="21" t="s">
        <v>274</v>
      </c>
      <c r="G37" s="21" t="s">
        <v>487</v>
      </c>
      <c r="H37" s="21" t="s">
        <v>258</v>
      </c>
      <c r="I37" s="21" t="s">
        <v>342</v>
      </c>
      <c r="J37" s="17" t="s">
        <v>155</v>
      </c>
      <c r="K37" s="21" t="s">
        <v>488</v>
      </c>
      <c r="L37" s="21" t="s">
        <v>465</v>
      </c>
      <c r="O37" s="21" t="s">
        <v>489</v>
      </c>
      <c r="P37" s="21">
        <v>404.0</v>
      </c>
      <c r="Q37" s="21" t="s">
        <v>262</v>
      </c>
      <c r="R37" s="21" t="s">
        <v>490</v>
      </c>
    </row>
    <row r="38">
      <c r="A38" s="21">
        <v>35.0</v>
      </c>
      <c r="B38" s="21" t="s">
        <v>485</v>
      </c>
      <c r="C38" s="21" t="s">
        <v>491</v>
      </c>
      <c r="D38" s="21" t="s">
        <v>150</v>
      </c>
      <c r="E38" s="21" t="s">
        <v>157</v>
      </c>
      <c r="F38" s="21" t="s">
        <v>274</v>
      </c>
      <c r="G38" s="21" t="s">
        <v>492</v>
      </c>
      <c r="H38" s="21" t="s">
        <v>258</v>
      </c>
      <c r="I38" s="21" t="s">
        <v>342</v>
      </c>
      <c r="J38" s="17" t="s">
        <v>158</v>
      </c>
      <c r="K38" s="21" t="s">
        <v>483</v>
      </c>
      <c r="L38" s="21" t="s">
        <v>465</v>
      </c>
      <c r="O38" s="21" t="s">
        <v>493</v>
      </c>
      <c r="P38" s="21">
        <v>404.0</v>
      </c>
      <c r="Q38" s="21" t="s">
        <v>281</v>
      </c>
    </row>
    <row r="39">
      <c r="A39" s="21">
        <v>36.0</v>
      </c>
      <c r="B39" s="21" t="s">
        <v>485</v>
      </c>
      <c r="C39" s="21" t="s">
        <v>494</v>
      </c>
      <c r="D39" s="21" t="s">
        <v>156</v>
      </c>
      <c r="E39" s="21" t="s">
        <v>159</v>
      </c>
      <c r="F39" s="21" t="s">
        <v>495</v>
      </c>
      <c r="G39" s="21" t="s">
        <v>496</v>
      </c>
      <c r="H39" s="21" t="s">
        <v>258</v>
      </c>
      <c r="I39" s="21" t="s">
        <v>342</v>
      </c>
      <c r="J39" s="17" t="s">
        <v>160</v>
      </c>
      <c r="K39" s="21" t="s">
        <v>497</v>
      </c>
      <c r="L39" s="21" t="s">
        <v>465</v>
      </c>
      <c r="N39" s="21" t="s">
        <v>498</v>
      </c>
      <c r="O39" s="21" t="s">
        <v>499</v>
      </c>
      <c r="P39" s="21" t="s">
        <v>256</v>
      </c>
      <c r="Q39" s="21" t="s">
        <v>326</v>
      </c>
      <c r="R39" s="21" t="s">
        <v>500</v>
      </c>
    </row>
    <row r="40">
      <c r="A40" s="21">
        <v>37.0</v>
      </c>
      <c r="B40" s="21" t="s">
        <v>501</v>
      </c>
      <c r="C40" s="21" t="s">
        <v>502</v>
      </c>
      <c r="D40" s="21" t="s">
        <v>176</v>
      </c>
      <c r="E40" s="21" t="s">
        <v>162</v>
      </c>
      <c r="F40" s="21" t="s">
        <v>286</v>
      </c>
      <c r="G40" s="21" t="s">
        <v>503</v>
      </c>
      <c r="H40" s="21" t="s">
        <v>258</v>
      </c>
      <c r="I40" s="21" t="s">
        <v>342</v>
      </c>
      <c r="J40" s="17" t="s">
        <v>163</v>
      </c>
      <c r="K40" s="21" t="s">
        <v>504</v>
      </c>
      <c r="L40" s="21" t="s">
        <v>505</v>
      </c>
      <c r="N40" s="21" t="s">
        <v>506</v>
      </c>
      <c r="O40" s="21" t="s">
        <v>507</v>
      </c>
      <c r="P40" s="21">
        <v>400.0</v>
      </c>
      <c r="Q40" s="21" t="s">
        <v>326</v>
      </c>
    </row>
    <row r="41">
      <c r="A41" s="21">
        <v>38.0</v>
      </c>
      <c r="B41" s="21" t="s">
        <v>386</v>
      </c>
      <c r="C41" s="21" t="s">
        <v>508</v>
      </c>
      <c r="D41" s="21" t="s">
        <v>88</v>
      </c>
      <c r="E41" s="21" t="s">
        <v>165</v>
      </c>
      <c r="F41" s="21" t="s">
        <v>286</v>
      </c>
      <c r="G41" s="21" t="s">
        <v>509</v>
      </c>
      <c r="H41" s="21" t="s">
        <v>258</v>
      </c>
      <c r="I41" s="21" t="s">
        <v>277</v>
      </c>
      <c r="J41" s="17" t="s">
        <v>166</v>
      </c>
      <c r="K41" s="21" t="s">
        <v>510</v>
      </c>
      <c r="L41" s="21" t="s">
        <v>439</v>
      </c>
      <c r="N41" s="21" t="s">
        <v>511</v>
      </c>
      <c r="O41" s="21" t="s">
        <v>512</v>
      </c>
      <c r="P41" s="21">
        <v>400.0</v>
      </c>
      <c r="Q41" s="21" t="s">
        <v>262</v>
      </c>
      <c r="R41" s="21" t="s">
        <v>513</v>
      </c>
    </row>
    <row r="42">
      <c r="A42" s="21">
        <v>39.0</v>
      </c>
      <c r="B42" s="21" t="s">
        <v>386</v>
      </c>
      <c r="C42" s="21" t="s">
        <v>514</v>
      </c>
      <c r="D42" s="21" t="s">
        <v>91</v>
      </c>
      <c r="E42" s="21" t="s">
        <v>168</v>
      </c>
      <c r="F42" s="21" t="s">
        <v>286</v>
      </c>
      <c r="G42" s="21" t="s">
        <v>515</v>
      </c>
      <c r="H42" s="21" t="s">
        <v>516</v>
      </c>
      <c r="I42" s="21" t="s">
        <v>277</v>
      </c>
      <c r="J42" s="17" t="s">
        <v>169</v>
      </c>
      <c r="K42" s="21" t="s">
        <v>256</v>
      </c>
      <c r="L42" s="21" t="s">
        <v>256</v>
      </c>
      <c r="N42" s="21" t="s">
        <v>517</v>
      </c>
      <c r="O42" s="21">
        <v>200.0</v>
      </c>
      <c r="P42" s="21" t="s">
        <v>256</v>
      </c>
      <c r="Q42" s="21" t="s">
        <v>262</v>
      </c>
      <c r="R42" s="21" t="s">
        <v>518</v>
      </c>
    </row>
    <row r="43">
      <c r="A43" s="21">
        <v>40.0</v>
      </c>
      <c r="B43" s="21" t="s">
        <v>386</v>
      </c>
      <c r="C43" s="21" t="s">
        <v>519</v>
      </c>
      <c r="D43" s="21" t="s">
        <v>88</v>
      </c>
      <c r="E43" s="21" t="s">
        <v>171</v>
      </c>
      <c r="F43" s="21" t="s">
        <v>274</v>
      </c>
      <c r="G43" s="21" t="s">
        <v>520</v>
      </c>
      <c r="H43" s="21" t="s">
        <v>258</v>
      </c>
      <c r="I43" s="21" t="s">
        <v>342</v>
      </c>
      <c r="J43" s="17" t="s">
        <v>172</v>
      </c>
      <c r="K43" s="21" t="s">
        <v>389</v>
      </c>
      <c r="L43" s="21" t="s">
        <v>374</v>
      </c>
      <c r="M43" s="21" t="s">
        <v>521</v>
      </c>
      <c r="O43" s="21" t="s">
        <v>522</v>
      </c>
      <c r="P43" s="21">
        <v>401.0</v>
      </c>
      <c r="Q43" s="21" t="s">
        <v>326</v>
      </c>
    </row>
    <row r="44">
      <c r="A44" s="21">
        <v>41.0</v>
      </c>
      <c r="B44" s="21" t="s">
        <v>386</v>
      </c>
      <c r="C44" s="21" t="s">
        <v>519</v>
      </c>
      <c r="D44" s="21" t="s">
        <v>88</v>
      </c>
      <c r="E44" s="21" t="s">
        <v>174</v>
      </c>
      <c r="F44" s="21" t="s">
        <v>274</v>
      </c>
      <c r="G44" s="21" t="s">
        <v>523</v>
      </c>
      <c r="H44" s="21" t="s">
        <v>258</v>
      </c>
      <c r="I44" s="21" t="s">
        <v>342</v>
      </c>
      <c r="J44" s="17" t="s">
        <v>175</v>
      </c>
      <c r="K44" s="21" t="s">
        <v>389</v>
      </c>
      <c r="L44" s="21" t="s">
        <v>524</v>
      </c>
      <c r="O44" s="21" t="s">
        <v>525</v>
      </c>
      <c r="P44" s="21">
        <v>404.0</v>
      </c>
      <c r="Q44" s="21" t="s">
        <v>326</v>
      </c>
    </row>
    <row r="45">
      <c r="A45" s="21">
        <v>42.0</v>
      </c>
      <c r="B45" s="21" t="s">
        <v>386</v>
      </c>
      <c r="C45" s="21" t="s">
        <v>526</v>
      </c>
      <c r="D45" s="21" t="s">
        <v>527</v>
      </c>
      <c r="E45" s="21" t="s">
        <v>177</v>
      </c>
      <c r="F45" s="21" t="s">
        <v>286</v>
      </c>
      <c r="G45" s="21" t="s">
        <v>528</v>
      </c>
      <c r="H45" s="21" t="s">
        <v>258</v>
      </c>
      <c r="I45" s="21" t="s">
        <v>342</v>
      </c>
      <c r="J45" s="17" t="s">
        <v>178</v>
      </c>
      <c r="K45" s="21" t="s">
        <v>256</v>
      </c>
      <c r="L45" s="21" t="s">
        <v>256</v>
      </c>
      <c r="N45" s="21" t="s">
        <v>529</v>
      </c>
      <c r="O45" s="21" t="s">
        <v>530</v>
      </c>
      <c r="P45" s="21">
        <v>400.0</v>
      </c>
      <c r="Q45" s="21" t="s">
        <v>281</v>
      </c>
    </row>
    <row r="46">
      <c r="A46" s="21">
        <v>43.0</v>
      </c>
      <c r="B46" s="21" t="s">
        <v>531</v>
      </c>
      <c r="C46" s="21" t="s">
        <v>532</v>
      </c>
      <c r="D46" s="21" t="s">
        <v>533</v>
      </c>
      <c r="E46" s="21" t="s">
        <v>180</v>
      </c>
      <c r="F46" s="21" t="s">
        <v>274</v>
      </c>
      <c r="G46" s="21" t="s">
        <v>534</v>
      </c>
      <c r="H46" s="21" t="s">
        <v>258</v>
      </c>
      <c r="I46" s="21" t="s">
        <v>342</v>
      </c>
      <c r="J46" s="17" t="s">
        <v>181</v>
      </c>
      <c r="K46" s="21" t="s">
        <v>535</v>
      </c>
      <c r="L46" s="21" t="s">
        <v>536</v>
      </c>
      <c r="O46" s="21" t="s">
        <v>537</v>
      </c>
      <c r="P46" s="21">
        <v>401.0</v>
      </c>
      <c r="Q46" s="21" t="s">
        <v>326</v>
      </c>
      <c r="R46" s="21" t="s">
        <v>538</v>
      </c>
    </row>
    <row r="47">
      <c r="A47" s="21">
        <v>44.0</v>
      </c>
      <c r="B47" s="21" t="s">
        <v>531</v>
      </c>
      <c r="C47" s="21" t="s">
        <v>532</v>
      </c>
      <c r="D47" s="21" t="s">
        <v>533</v>
      </c>
      <c r="E47" s="21" t="s">
        <v>182</v>
      </c>
      <c r="F47" s="21" t="s">
        <v>274</v>
      </c>
      <c r="G47" s="21" t="s">
        <v>539</v>
      </c>
      <c r="H47" s="21" t="s">
        <v>258</v>
      </c>
      <c r="I47" s="21" t="s">
        <v>342</v>
      </c>
      <c r="J47" s="17" t="s">
        <v>183</v>
      </c>
      <c r="K47" s="21" t="s">
        <v>535</v>
      </c>
      <c r="L47" s="21" t="s">
        <v>540</v>
      </c>
      <c r="M47" s="21" t="s">
        <v>521</v>
      </c>
      <c r="O47" s="21" t="s">
        <v>541</v>
      </c>
      <c r="P47" s="21">
        <v>403.0</v>
      </c>
      <c r="Q47" s="21" t="s">
        <v>326</v>
      </c>
    </row>
    <row r="48">
      <c r="A48" s="21">
        <v>45.0</v>
      </c>
      <c r="B48" s="21" t="s">
        <v>531</v>
      </c>
      <c r="C48" s="21" t="s">
        <v>532</v>
      </c>
      <c r="D48" s="21" t="s">
        <v>533</v>
      </c>
      <c r="E48" s="21" t="s">
        <v>184</v>
      </c>
      <c r="F48" s="21" t="s">
        <v>286</v>
      </c>
      <c r="G48" s="21" t="s">
        <v>539</v>
      </c>
      <c r="H48" s="21" t="s">
        <v>258</v>
      </c>
      <c r="I48" s="21" t="s">
        <v>342</v>
      </c>
      <c r="J48" s="17" t="s">
        <v>185</v>
      </c>
      <c r="K48" s="21" t="s">
        <v>535</v>
      </c>
      <c r="L48" s="21" t="s">
        <v>540</v>
      </c>
      <c r="N48" s="21" t="s">
        <v>542</v>
      </c>
      <c r="O48" s="21" t="s">
        <v>543</v>
      </c>
      <c r="P48" s="21">
        <v>403.0</v>
      </c>
      <c r="Q48" s="21" t="s">
        <v>326</v>
      </c>
    </row>
    <row r="49">
      <c r="A49" s="21">
        <v>46.0</v>
      </c>
      <c r="B49" s="21" t="s">
        <v>544</v>
      </c>
      <c r="C49" s="21" t="s">
        <v>545</v>
      </c>
      <c r="D49" s="21" t="s">
        <v>170</v>
      </c>
      <c r="E49" s="21" t="s">
        <v>186</v>
      </c>
      <c r="F49" s="21" t="s">
        <v>274</v>
      </c>
      <c r="G49" s="21" t="s">
        <v>546</v>
      </c>
      <c r="H49" s="21" t="s">
        <v>258</v>
      </c>
      <c r="I49" s="21" t="s">
        <v>342</v>
      </c>
      <c r="J49" s="17" t="s">
        <v>187</v>
      </c>
      <c r="K49" s="21" t="s">
        <v>547</v>
      </c>
      <c r="L49" s="21" t="s">
        <v>548</v>
      </c>
      <c r="M49" s="21" t="s">
        <v>549</v>
      </c>
      <c r="O49" s="21" t="s">
        <v>550</v>
      </c>
      <c r="P49" s="21">
        <v>401.0</v>
      </c>
      <c r="Q49" s="21" t="s">
        <v>326</v>
      </c>
    </row>
    <row r="50">
      <c r="A50" s="21">
        <v>47.0</v>
      </c>
      <c r="B50" s="21" t="s">
        <v>544</v>
      </c>
      <c r="C50" s="21" t="s">
        <v>545</v>
      </c>
      <c r="D50" s="21" t="s">
        <v>170</v>
      </c>
      <c r="E50" s="21" t="s">
        <v>188</v>
      </c>
      <c r="F50" s="21" t="s">
        <v>274</v>
      </c>
      <c r="G50" s="21" t="s">
        <v>551</v>
      </c>
      <c r="H50" s="21" t="s">
        <v>258</v>
      </c>
      <c r="I50" s="21" t="s">
        <v>342</v>
      </c>
      <c r="J50" s="17" t="s">
        <v>189</v>
      </c>
      <c r="K50" s="21" t="s">
        <v>547</v>
      </c>
      <c r="L50" s="21" t="s">
        <v>552</v>
      </c>
      <c r="O50" s="21" t="s">
        <v>553</v>
      </c>
      <c r="P50" s="21">
        <v>401.0</v>
      </c>
      <c r="Q50" s="21" t="s">
        <v>326</v>
      </c>
    </row>
    <row r="51">
      <c r="A51" s="21">
        <v>48.0</v>
      </c>
      <c r="B51" s="21" t="s">
        <v>544</v>
      </c>
      <c r="C51" s="21" t="s">
        <v>554</v>
      </c>
      <c r="D51" s="21" t="s">
        <v>170</v>
      </c>
      <c r="E51" s="21" t="s">
        <v>190</v>
      </c>
      <c r="F51" s="21" t="s">
        <v>274</v>
      </c>
      <c r="G51" s="21" t="s">
        <v>555</v>
      </c>
      <c r="H51" s="21" t="s">
        <v>258</v>
      </c>
      <c r="I51" s="21" t="s">
        <v>342</v>
      </c>
      <c r="J51" s="17" t="s">
        <v>191</v>
      </c>
      <c r="K51" s="21" t="s">
        <v>547</v>
      </c>
      <c r="L51" s="21" t="s">
        <v>556</v>
      </c>
      <c r="O51" s="21" t="s">
        <v>557</v>
      </c>
      <c r="P51" s="21">
        <v>404.0</v>
      </c>
      <c r="Q51" s="21" t="s">
        <v>281</v>
      </c>
    </row>
    <row r="52">
      <c r="A52" s="21">
        <v>49.0</v>
      </c>
      <c r="B52" s="21" t="s">
        <v>544</v>
      </c>
      <c r="C52" s="21" t="s">
        <v>545</v>
      </c>
      <c r="D52" s="21" t="s">
        <v>170</v>
      </c>
      <c r="E52" s="21" t="s">
        <v>192</v>
      </c>
      <c r="F52" s="21" t="s">
        <v>356</v>
      </c>
      <c r="G52" s="21" t="s">
        <v>558</v>
      </c>
      <c r="H52" s="21" t="s">
        <v>258</v>
      </c>
      <c r="I52" s="21" t="s">
        <v>342</v>
      </c>
      <c r="J52" s="17" t="s">
        <v>193</v>
      </c>
      <c r="K52" s="21" t="s">
        <v>547</v>
      </c>
      <c r="L52" s="21" t="s">
        <v>559</v>
      </c>
      <c r="N52" s="21" t="s">
        <v>560</v>
      </c>
      <c r="O52" s="21" t="s">
        <v>557</v>
      </c>
      <c r="P52" s="21">
        <v>404.0</v>
      </c>
      <c r="Q52" s="21" t="s">
        <v>281</v>
      </c>
    </row>
    <row r="53">
      <c r="A53" s="21">
        <v>50.0</v>
      </c>
      <c r="B53" s="21" t="s">
        <v>544</v>
      </c>
      <c r="C53" s="21" t="s">
        <v>561</v>
      </c>
      <c r="D53" s="21" t="s">
        <v>173</v>
      </c>
      <c r="E53" s="21" t="s">
        <v>562</v>
      </c>
      <c r="F53" s="21" t="s">
        <v>286</v>
      </c>
      <c r="G53" s="21" t="s">
        <v>563</v>
      </c>
      <c r="H53" s="21" t="s">
        <v>258</v>
      </c>
      <c r="I53" s="21" t="s">
        <v>342</v>
      </c>
      <c r="J53" s="17" t="s">
        <v>564</v>
      </c>
      <c r="K53" s="21" t="s">
        <v>565</v>
      </c>
      <c r="L53" s="21" t="s">
        <v>256</v>
      </c>
      <c r="N53" s="21" t="s">
        <v>566</v>
      </c>
      <c r="O53" s="21" t="s">
        <v>325</v>
      </c>
      <c r="P53" s="21">
        <v>401.0</v>
      </c>
      <c r="Q53" s="21" t="s">
        <v>281</v>
      </c>
    </row>
    <row r="54">
      <c r="A54" s="21">
        <v>51.0</v>
      </c>
      <c r="B54" s="21" t="s">
        <v>567</v>
      </c>
      <c r="C54" s="21" t="s">
        <v>568</v>
      </c>
      <c r="D54" s="21" t="s">
        <v>254</v>
      </c>
      <c r="E54" s="21" t="s">
        <v>194</v>
      </c>
      <c r="F54" s="21" t="s">
        <v>274</v>
      </c>
      <c r="G54" s="21" t="s">
        <v>569</v>
      </c>
      <c r="H54" s="21" t="s">
        <v>570</v>
      </c>
      <c r="I54" s="21" t="s">
        <v>571</v>
      </c>
      <c r="J54" s="17" t="s">
        <v>195</v>
      </c>
      <c r="K54" s="21" t="s">
        <v>572</v>
      </c>
      <c r="L54" s="21" t="s">
        <v>573</v>
      </c>
      <c r="M54" s="21" t="s">
        <v>574</v>
      </c>
      <c r="O54" s="21" t="s">
        <v>575</v>
      </c>
      <c r="P54" s="21">
        <v>401.0</v>
      </c>
      <c r="Q54" s="21" t="s">
        <v>326</v>
      </c>
      <c r="R54" s="21" t="s">
        <v>576</v>
      </c>
    </row>
    <row r="55">
      <c r="A55" s="21">
        <v>52.0</v>
      </c>
      <c r="B55" s="21" t="s">
        <v>567</v>
      </c>
      <c r="C55" s="21" t="s">
        <v>568</v>
      </c>
      <c r="D55" s="21" t="s">
        <v>254</v>
      </c>
      <c r="E55" s="21" t="s">
        <v>196</v>
      </c>
      <c r="F55" s="21" t="s">
        <v>274</v>
      </c>
      <c r="G55" s="21" t="s">
        <v>577</v>
      </c>
      <c r="H55" s="21" t="s">
        <v>258</v>
      </c>
      <c r="I55" s="21" t="s">
        <v>571</v>
      </c>
      <c r="J55" s="17" t="s">
        <v>197</v>
      </c>
      <c r="K55" s="21" t="s">
        <v>578</v>
      </c>
      <c r="L55" s="21" t="s">
        <v>573</v>
      </c>
      <c r="M55" s="21" t="s">
        <v>521</v>
      </c>
      <c r="O55" s="21" t="s">
        <v>575</v>
      </c>
      <c r="P55" s="21">
        <v>401.0</v>
      </c>
      <c r="Q55" s="21" t="s">
        <v>326</v>
      </c>
    </row>
    <row r="56">
      <c r="A56" s="21">
        <v>53.0</v>
      </c>
      <c r="B56" s="21" t="s">
        <v>567</v>
      </c>
      <c r="C56" s="21" t="s">
        <v>568</v>
      </c>
      <c r="D56" s="21" t="s">
        <v>254</v>
      </c>
      <c r="E56" s="21" t="s">
        <v>198</v>
      </c>
      <c r="F56" s="21" t="s">
        <v>274</v>
      </c>
      <c r="G56" s="21" t="s">
        <v>579</v>
      </c>
      <c r="H56" s="21" t="s">
        <v>258</v>
      </c>
      <c r="I56" s="21" t="s">
        <v>571</v>
      </c>
      <c r="J56" s="17" t="s">
        <v>199</v>
      </c>
      <c r="K56" s="21" t="s">
        <v>580</v>
      </c>
      <c r="L56" s="21" t="s">
        <v>581</v>
      </c>
      <c r="O56" s="21" t="s">
        <v>582</v>
      </c>
      <c r="P56" s="21">
        <v>404.0</v>
      </c>
      <c r="Q56" s="21" t="s">
        <v>262</v>
      </c>
      <c r="R56" s="21" t="s">
        <v>583</v>
      </c>
    </row>
    <row r="57">
      <c r="A57" s="21">
        <v>54.0</v>
      </c>
      <c r="B57" s="21" t="s">
        <v>567</v>
      </c>
      <c r="C57" s="21" t="s">
        <v>584</v>
      </c>
      <c r="D57" s="21" t="s">
        <v>254</v>
      </c>
      <c r="E57" s="21" t="s">
        <v>200</v>
      </c>
      <c r="F57" s="21" t="s">
        <v>286</v>
      </c>
      <c r="G57" s="21" t="s">
        <v>569</v>
      </c>
      <c r="H57" s="21" t="s">
        <v>258</v>
      </c>
      <c r="I57" s="21" t="s">
        <v>571</v>
      </c>
      <c r="J57" s="17" t="s">
        <v>201</v>
      </c>
      <c r="K57" s="21" t="s">
        <v>585</v>
      </c>
      <c r="L57" s="21" t="s">
        <v>586</v>
      </c>
      <c r="N57" s="21" t="s">
        <v>587</v>
      </c>
      <c r="O57" s="21" t="s">
        <v>588</v>
      </c>
      <c r="P57" s="21">
        <v>422.0</v>
      </c>
      <c r="Q57" s="21" t="s">
        <v>262</v>
      </c>
      <c r="R57" s="21" t="s">
        <v>589</v>
      </c>
    </row>
    <row r="58">
      <c r="A58" s="21">
        <v>55.0</v>
      </c>
      <c r="B58" s="21" t="s">
        <v>567</v>
      </c>
      <c r="C58" s="21" t="s">
        <v>590</v>
      </c>
      <c r="D58" s="21" t="s">
        <v>254</v>
      </c>
      <c r="E58" s="21" t="s">
        <v>202</v>
      </c>
      <c r="F58" s="21" t="s">
        <v>286</v>
      </c>
      <c r="G58" s="21" t="s">
        <v>591</v>
      </c>
      <c r="H58" s="21" t="s">
        <v>258</v>
      </c>
      <c r="I58" s="21" t="s">
        <v>571</v>
      </c>
      <c r="J58" s="17" t="s">
        <v>203</v>
      </c>
      <c r="K58" s="21" t="s">
        <v>592</v>
      </c>
      <c r="L58" s="21" t="s">
        <v>586</v>
      </c>
      <c r="N58" s="21" t="s">
        <v>593</v>
      </c>
      <c r="O58" s="21" t="s">
        <v>594</v>
      </c>
      <c r="P58" s="21">
        <v>400.0</v>
      </c>
      <c r="Q58" s="21" t="s">
        <v>326</v>
      </c>
    </row>
    <row r="59">
      <c r="A59" s="21">
        <v>56.0</v>
      </c>
      <c r="B59" s="21" t="s">
        <v>567</v>
      </c>
      <c r="C59" s="21" t="s">
        <v>595</v>
      </c>
      <c r="D59" s="21" t="s">
        <v>254</v>
      </c>
      <c r="E59" s="21" t="s">
        <v>204</v>
      </c>
      <c r="F59" s="21" t="s">
        <v>356</v>
      </c>
      <c r="G59" s="21" t="s">
        <v>596</v>
      </c>
      <c r="H59" s="21" t="s">
        <v>597</v>
      </c>
      <c r="I59" s="21" t="s">
        <v>571</v>
      </c>
      <c r="J59" s="17" t="s">
        <v>205</v>
      </c>
      <c r="K59" s="21" t="s">
        <v>592</v>
      </c>
      <c r="L59" s="21" t="s">
        <v>581</v>
      </c>
      <c r="N59" s="21" t="s">
        <v>598</v>
      </c>
      <c r="O59" s="21" t="s">
        <v>582</v>
      </c>
      <c r="P59" s="21">
        <v>403.0</v>
      </c>
      <c r="Q59" s="21" t="s">
        <v>326</v>
      </c>
    </row>
    <row r="60">
      <c r="A60" s="21">
        <v>57.0</v>
      </c>
      <c r="B60" s="21" t="s">
        <v>567</v>
      </c>
      <c r="C60" s="21" t="s">
        <v>599</v>
      </c>
      <c r="D60" s="21" t="s">
        <v>254</v>
      </c>
      <c r="E60" s="21" t="s">
        <v>206</v>
      </c>
      <c r="F60" s="21" t="s">
        <v>286</v>
      </c>
      <c r="G60" s="21" t="s">
        <v>600</v>
      </c>
      <c r="H60" s="21" t="s">
        <v>601</v>
      </c>
      <c r="I60" s="21" t="s">
        <v>571</v>
      </c>
      <c r="J60" s="17" t="s">
        <v>207</v>
      </c>
      <c r="K60" s="21" t="s">
        <v>602</v>
      </c>
      <c r="L60" s="21" t="s">
        <v>581</v>
      </c>
      <c r="N60" s="21" t="s">
        <v>603</v>
      </c>
      <c r="O60" s="21" t="s">
        <v>604</v>
      </c>
      <c r="P60" s="21" t="s">
        <v>605</v>
      </c>
      <c r="Q60" s="21" t="s">
        <v>262</v>
      </c>
      <c r="R60" s="21" t="s">
        <v>606</v>
      </c>
    </row>
    <row r="61">
      <c r="A61" s="21">
        <v>58.0</v>
      </c>
      <c r="B61" s="21" t="s">
        <v>567</v>
      </c>
      <c r="C61" s="21" t="s">
        <v>607</v>
      </c>
      <c r="D61" s="21" t="s">
        <v>254</v>
      </c>
      <c r="E61" s="21" t="s">
        <v>208</v>
      </c>
      <c r="F61" s="21" t="s">
        <v>274</v>
      </c>
      <c r="G61" s="21" t="s">
        <v>608</v>
      </c>
      <c r="H61" s="21" t="s">
        <v>597</v>
      </c>
      <c r="I61" s="21" t="s">
        <v>571</v>
      </c>
      <c r="J61" s="17" t="s">
        <v>209</v>
      </c>
      <c r="K61" s="21" t="s">
        <v>609</v>
      </c>
      <c r="L61" s="21" t="s">
        <v>610</v>
      </c>
      <c r="O61" s="21" t="s">
        <v>611</v>
      </c>
      <c r="P61" s="21">
        <v>403.0</v>
      </c>
      <c r="Q61" s="21" t="s">
        <v>262</v>
      </c>
      <c r="R61" s="21" t="s">
        <v>612</v>
      </c>
    </row>
    <row r="62">
      <c r="A62" s="21">
        <v>59.0</v>
      </c>
      <c r="B62" s="21" t="s">
        <v>567</v>
      </c>
      <c r="C62" s="21" t="s">
        <v>613</v>
      </c>
      <c r="D62" s="21" t="s">
        <v>254</v>
      </c>
      <c r="E62" s="21" t="s">
        <v>210</v>
      </c>
      <c r="F62" s="21" t="s">
        <v>274</v>
      </c>
      <c r="G62" s="21" t="s">
        <v>614</v>
      </c>
      <c r="H62" s="21" t="s">
        <v>258</v>
      </c>
      <c r="I62" s="21" t="s">
        <v>571</v>
      </c>
      <c r="J62" s="17" t="s">
        <v>212</v>
      </c>
      <c r="K62" s="21" t="s">
        <v>615</v>
      </c>
      <c r="L62" s="21" t="s">
        <v>616</v>
      </c>
      <c r="M62" s="21" t="s">
        <v>617</v>
      </c>
      <c r="O62" s="21" t="s">
        <v>618</v>
      </c>
      <c r="P62" s="21">
        <v>403.0</v>
      </c>
      <c r="Q62" s="21" t="s">
        <v>262</v>
      </c>
      <c r="R62" s="21" t="s">
        <v>619</v>
      </c>
    </row>
    <row r="63">
      <c r="A63" s="21">
        <v>60.0</v>
      </c>
      <c r="B63" s="21" t="s">
        <v>567</v>
      </c>
      <c r="C63" s="21" t="s">
        <v>613</v>
      </c>
      <c r="D63" s="21" t="s">
        <v>254</v>
      </c>
      <c r="E63" s="21" t="s">
        <v>213</v>
      </c>
      <c r="F63" s="21" t="s">
        <v>286</v>
      </c>
      <c r="G63" s="21" t="s">
        <v>614</v>
      </c>
      <c r="H63" s="21" t="s">
        <v>258</v>
      </c>
      <c r="I63" s="21" t="s">
        <v>571</v>
      </c>
      <c r="J63" s="17" t="s">
        <v>214</v>
      </c>
      <c r="K63" s="21" t="s">
        <v>620</v>
      </c>
      <c r="L63" s="21" t="s">
        <v>621</v>
      </c>
      <c r="N63" s="21" t="s">
        <v>622</v>
      </c>
      <c r="O63" s="21" t="s">
        <v>623</v>
      </c>
      <c r="P63" s="21">
        <v>403.0</v>
      </c>
      <c r="Q63" s="21" t="s">
        <v>262</v>
      </c>
    </row>
    <row r="64">
      <c r="A64" s="21">
        <v>61.0</v>
      </c>
      <c r="B64" s="21" t="s">
        <v>567</v>
      </c>
      <c r="C64" s="21" t="s">
        <v>624</v>
      </c>
      <c r="D64" s="21" t="s">
        <v>254</v>
      </c>
      <c r="E64" s="21" t="s">
        <v>215</v>
      </c>
      <c r="F64" s="21" t="s">
        <v>286</v>
      </c>
      <c r="G64" s="21" t="s">
        <v>625</v>
      </c>
      <c r="H64" s="21" t="s">
        <v>597</v>
      </c>
      <c r="I64" s="21" t="s">
        <v>571</v>
      </c>
      <c r="J64" s="17" t="s">
        <v>216</v>
      </c>
      <c r="K64" s="21" t="s">
        <v>626</v>
      </c>
      <c r="L64" s="21" t="s">
        <v>627</v>
      </c>
      <c r="N64" s="21" t="s">
        <v>628</v>
      </c>
      <c r="O64" s="21" t="s">
        <v>629</v>
      </c>
      <c r="P64" s="21" t="s">
        <v>630</v>
      </c>
      <c r="Q64" s="21" t="s">
        <v>262</v>
      </c>
      <c r="R64" s="21" t="s">
        <v>631</v>
      </c>
    </row>
    <row r="65">
      <c r="A65" s="21">
        <v>62.0</v>
      </c>
      <c r="B65" s="21" t="s">
        <v>567</v>
      </c>
      <c r="C65" s="21" t="s">
        <v>632</v>
      </c>
      <c r="D65" s="21" t="s">
        <v>254</v>
      </c>
      <c r="E65" s="21" t="s">
        <v>217</v>
      </c>
      <c r="F65" s="21" t="s">
        <v>286</v>
      </c>
      <c r="G65" s="21" t="s">
        <v>633</v>
      </c>
      <c r="H65" s="21" t="s">
        <v>597</v>
      </c>
      <c r="I65" s="21" t="s">
        <v>571</v>
      </c>
      <c r="J65" s="17" t="s">
        <v>218</v>
      </c>
      <c r="K65" s="21" t="s">
        <v>634</v>
      </c>
      <c r="L65" s="21" t="s">
        <v>635</v>
      </c>
      <c r="O65" s="21" t="s">
        <v>636</v>
      </c>
      <c r="P65" s="21">
        <v>403.0</v>
      </c>
      <c r="Q65" s="21" t="s">
        <v>262</v>
      </c>
      <c r="R65" s="21" t="s">
        <v>637</v>
      </c>
    </row>
    <row r="66">
      <c r="A66" s="21">
        <v>63.0</v>
      </c>
      <c r="B66" s="21" t="s">
        <v>567</v>
      </c>
      <c r="C66" s="21" t="s">
        <v>638</v>
      </c>
      <c r="D66" s="21" t="s">
        <v>254</v>
      </c>
      <c r="E66" s="21" t="s">
        <v>219</v>
      </c>
      <c r="F66" s="21" t="s">
        <v>286</v>
      </c>
      <c r="G66" s="21" t="s">
        <v>639</v>
      </c>
      <c r="H66" s="21" t="s">
        <v>601</v>
      </c>
      <c r="I66" s="21" t="s">
        <v>571</v>
      </c>
      <c r="J66" s="17" t="s">
        <v>220</v>
      </c>
      <c r="K66" s="21" t="s">
        <v>640</v>
      </c>
      <c r="L66" s="21" t="s">
        <v>382</v>
      </c>
      <c r="N66" s="21" t="s">
        <v>641</v>
      </c>
      <c r="O66" s="21" t="s">
        <v>642</v>
      </c>
      <c r="P66" s="21">
        <v>403.0</v>
      </c>
      <c r="Q66" s="21" t="s">
        <v>262</v>
      </c>
      <c r="R66" s="21" t="s">
        <v>643</v>
      </c>
    </row>
    <row r="67">
      <c r="A67" s="21">
        <v>64.0</v>
      </c>
      <c r="B67" s="21" t="s">
        <v>567</v>
      </c>
      <c r="C67" s="21" t="s">
        <v>644</v>
      </c>
      <c r="D67" s="21" t="s">
        <v>254</v>
      </c>
      <c r="E67" s="21" t="s">
        <v>221</v>
      </c>
      <c r="F67" s="21" t="s">
        <v>274</v>
      </c>
      <c r="G67" s="21" t="s">
        <v>645</v>
      </c>
      <c r="H67" s="21" t="s">
        <v>258</v>
      </c>
      <c r="I67" s="21" t="s">
        <v>571</v>
      </c>
      <c r="J67" s="17" t="s">
        <v>222</v>
      </c>
      <c r="K67" s="21" t="s">
        <v>592</v>
      </c>
      <c r="L67" s="21" t="s">
        <v>581</v>
      </c>
      <c r="O67" s="21" t="s">
        <v>646</v>
      </c>
      <c r="P67" s="21">
        <v>404.0</v>
      </c>
      <c r="Q67" s="21" t="s">
        <v>281</v>
      </c>
    </row>
    <row r="68">
      <c r="A68" s="21">
        <v>65.0</v>
      </c>
      <c r="B68" s="21" t="s">
        <v>647</v>
      </c>
      <c r="C68" s="21" t="s">
        <v>648</v>
      </c>
      <c r="D68" s="21" t="s">
        <v>179</v>
      </c>
      <c r="E68" s="21" t="s">
        <v>223</v>
      </c>
      <c r="F68" s="21" t="s">
        <v>286</v>
      </c>
      <c r="G68" s="21" t="s">
        <v>649</v>
      </c>
      <c r="H68" s="21" t="s">
        <v>258</v>
      </c>
      <c r="I68" s="21" t="s">
        <v>342</v>
      </c>
      <c r="J68" s="17" t="s">
        <v>224</v>
      </c>
      <c r="K68" s="21" t="s">
        <v>650</v>
      </c>
      <c r="L68" s="21" t="s">
        <v>651</v>
      </c>
      <c r="N68" s="21" t="s">
        <v>652</v>
      </c>
      <c r="O68" s="21" t="s">
        <v>653</v>
      </c>
      <c r="P68" s="21">
        <v>413.0</v>
      </c>
      <c r="Q68" s="21" t="s">
        <v>326</v>
      </c>
    </row>
    <row r="69">
      <c r="A69" s="21">
        <v>66.0</v>
      </c>
      <c r="B69" s="21" t="s">
        <v>654</v>
      </c>
      <c r="C69" s="21" t="s">
        <v>648</v>
      </c>
      <c r="D69" s="21" t="s">
        <v>179</v>
      </c>
      <c r="E69" s="21" t="s">
        <v>225</v>
      </c>
      <c r="F69" s="21" t="s">
        <v>274</v>
      </c>
      <c r="G69" s="21" t="s">
        <v>655</v>
      </c>
      <c r="H69" s="21" t="s">
        <v>258</v>
      </c>
      <c r="I69" s="21" t="s">
        <v>342</v>
      </c>
      <c r="J69" s="17" t="s">
        <v>226</v>
      </c>
      <c r="K69" s="21" t="s">
        <v>656</v>
      </c>
      <c r="L69" s="21" t="s">
        <v>657</v>
      </c>
      <c r="O69" s="21" t="s">
        <v>658</v>
      </c>
      <c r="P69" s="21">
        <v>401.0</v>
      </c>
      <c r="Q69" s="21" t="s">
        <v>281</v>
      </c>
    </row>
    <row r="70">
      <c r="A70" s="21">
        <v>67.0</v>
      </c>
      <c r="B70" s="21" t="s">
        <v>567</v>
      </c>
      <c r="D70" s="21" t="s">
        <v>254</v>
      </c>
      <c r="E70" s="21" t="s">
        <v>227</v>
      </c>
      <c r="F70" s="22" t="s">
        <v>399</v>
      </c>
      <c r="J70" s="7"/>
    </row>
    <row r="71">
      <c r="A71" s="21">
        <v>68.0</v>
      </c>
      <c r="B71" s="21" t="s">
        <v>567</v>
      </c>
      <c r="D71" s="21" t="s">
        <v>254</v>
      </c>
      <c r="E71" s="21" t="s">
        <v>228</v>
      </c>
      <c r="F71" s="23" t="s">
        <v>274</v>
      </c>
      <c r="J71" s="7"/>
    </row>
    <row r="72">
      <c r="A72" s="21">
        <v>69.0</v>
      </c>
      <c r="B72" s="21" t="s">
        <v>567</v>
      </c>
      <c r="D72" s="21" t="s">
        <v>254</v>
      </c>
      <c r="E72" s="21" t="s">
        <v>229</v>
      </c>
      <c r="F72" s="23" t="s">
        <v>286</v>
      </c>
      <c r="J72" s="7"/>
    </row>
    <row r="73">
      <c r="A73" s="21">
        <v>70.0</v>
      </c>
      <c r="B73" s="21" t="s">
        <v>567</v>
      </c>
      <c r="D73" s="21" t="s">
        <v>254</v>
      </c>
      <c r="E73" s="21" t="s">
        <v>230</v>
      </c>
      <c r="F73" s="23" t="s">
        <v>286</v>
      </c>
      <c r="J73" s="7"/>
    </row>
    <row r="74">
      <c r="A74" s="21">
        <v>71.0</v>
      </c>
      <c r="B74" s="21" t="s">
        <v>567</v>
      </c>
      <c r="D74" s="21" t="s">
        <v>254</v>
      </c>
      <c r="E74" s="21" t="s">
        <v>231</v>
      </c>
      <c r="F74" s="23" t="s">
        <v>286</v>
      </c>
      <c r="J74" s="7"/>
    </row>
    <row r="75">
      <c r="A75" s="21">
        <v>72.0</v>
      </c>
      <c r="B75" s="21" t="s">
        <v>567</v>
      </c>
      <c r="D75" s="21" t="s">
        <v>254</v>
      </c>
      <c r="E75" s="21" t="s">
        <v>232</v>
      </c>
      <c r="F75" s="23" t="s">
        <v>274</v>
      </c>
      <c r="J75" s="7"/>
    </row>
    <row r="76">
      <c r="J76" s="7"/>
    </row>
    <row r="77">
      <c r="J77" s="7"/>
    </row>
    <row r="78">
      <c r="J78" s="7"/>
    </row>
    <row r="79">
      <c r="J79" s="7"/>
    </row>
    <row r="80">
      <c r="J80" s="7"/>
    </row>
    <row r="81">
      <c r="J81" s="7"/>
    </row>
    <row r="82">
      <c r="J82" s="7"/>
    </row>
    <row r="83">
      <c r="J83" s="7"/>
    </row>
    <row r="84">
      <c r="J84" s="7"/>
    </row>
    <row r="85">
      <c r="J85" s="7"/>
    </row>
    <row r="86">
      <c r="J86" s="7"/>
    </row>
    <row r="87">
      <c r="J87" s="7"/>
    </row>
    <row r="88">
      <c r="J88" s="7"/>
    </row>
    <row r="89">
      <c r="J89" s="7"/>
    </row>
    <row r="90">
      <c r="J90" s="7"/>
    </row>
    <row r="91">
      <c r="J91" s="7"/>
    </row>
    <row r="92">
      <c r="J92" s="7"/>
    </row>
    <row r="93">
      <c r="J93" s="7"/>
    </row>
    <row r="94">
      <c r="J94" s="7"/>
    </row>
    <row r="95">
      <c r="J95" s="7"/>
    </row>
    <row r="96">
      <c r="J96" s="7"/>
    </row>
    <row r="97">
      <c r="J97" s="7"/>
    </row>
    <row r="98">
      <c r="J98" s="7"/>
    </row>
    <row r="99">
      <c r="J99" s="7"/>
    </row>
    <row r="100">
      <c r="J100" s="7"/>
    </row>
    <row r="101">
      <c r="J101" s="7"/>
    </row>
    <row r="102">
      <c r="J102" s="7"/>
    </row>
    <row r="103">
      <c r="J103" s="7"/>
    </row>
    <row r="104">
      <c r="J104" s="7"/>
    </row>
    <row r="105">
      <c r="J105" s="7"/>
    </row>
    <row r="106">
      <c r="J106" s="7"/>
    </row>
    <row r="107">
      <c r="J107" s="7"/>
    </row>
    <row r="108">
      <c r="J108" s="7"/>
    </row>
    <row r="109">
      <c r="J109" s="7"/>
    </row>
    <row r="110">
      <c r="J110" s="7"/>
    </row>
    <row r="111">
      <c r="J111" s="7"/>
    </row>
    <row r="112">
      <c r="J112" s="7"/>
    </row>
    <row r="113">
      <c r="J113" s="7"/>
    </row>
    <row r="114">
      <c r="J114" s="7"/>
    </row>
    <row r="115">
      <c r="J115" s="7"/>
    </row>
    <row r="116">
      <c r="J116" s="7"/>
    </row>
    <row r="117">
      <c r="J117" s="7"/>
    </row>
    <row r="118">
      <c r="J118" s="7"/>
    </row>
    <row r="119">
      <c r="J119" s="7"/>
    </row>
    <row r="120">
      <c r="J120" s="7"/>
    </row>
    <row r="121">
      <c r="J121" s="7"/>
    </row>
    <row r="122">
      <c r="J122" s="7"/>
    </row>
    <row r="123">
      <c r="J123" s="7"/>
    </row>
    <row r="124">
      <c r="J124" s="7"/>
    </row>
    <row r="125">
      <c r="J125" s="7"/>
    </row>
    <row r="126">
      <c r="J126" s="7"/>
    </row>
    <row r="127">
      <c r="J127" s="7"/>
    </row>
    <row r="128">
      <c r="J128" s="7"/>
    </row>
    <row r="129">
      <c r="J129" s="7"/>
    </row>
    <row r="130">
      <c r="J130" s="7"/>
    </row>
    <row r="131">
      <c r="J131" s="7"/>
    </row>
    <row r="132">
      <c r="J132" s="7"/>
    </row>
    <row r="133">
      <c r="J133" s="7"/>
    </row>
    <row r="134">
      <c r="J134" s="7"/>
    </row>
    <row r="135">
      <c r="J135" s="7"/>
    </row>
    <row r="136">
      <c r="J136" s="7"/>
    </row>
    <row r="137">
      <c r="J137" s="7"/>
    </row>
    <row r="138">
      <c r="J138" s="7"/>
    </row>
    <row r="139">
      <c r="J139" s="7"/>
    </row>
    <row r="140">
      <c r="J140" s="7"/>
    </row>
    <row r="141">
      <c r="J141" s="7"/>
    </row>
    <row r="142">
      <c r="J142" s="7"/>
    </row>
    <row r="143">
      <c r="J143" s="7"/>
    </row>
    <row r="144">
      <c r="J144" s="7"/>
    </row>
    <row r="145">
      <c r="J145" s="7"/>
    </row>
    <row r="146">
      <c r="J146" s="7"/>
    </row>
    <row r="147">
      <c r="J147" s="7"/>
    </row>
    <row r="148">
      <c r="J148" s="7"/>
    </row>
    <row r="149">
      <c r="J149" s="7"/>
    </row>
    <row r="150">
      <c r="J150" s="7"/>
    </row>
    <row r="151">
      <c r="J151" s="7"/>
    </row>
    <row r="152">
      <c r="J152" s="7"/>
    </row>
    <row r="153">
      <c r="J153" s="7"/>
    </row>
    <row r="154">
      <c r="J154" s="7"/>
    </row>
    <row r="155">
      <c r="J155" s="7"/>
    </row>
    <row r="156">
      <c r="J156" s="7"/>
    </row>
    <row r="157">
      <c r="J157" s="7"/>
    </row>
    <row r="158">
      <c r="J158" s="7"/>
    </row>
    <row r="159">
      <c r="J159" s="7"/>
    </row>
    <row r="160">
      <c r="J160" s="7"/>
    </row>
    <row r="161">
      <c r="J161" s="7"/>
    </row>
    <row r="162">
      <c r="J162" s="7"/>
    </row>
    <row r="163">
      <c r="J163" s="7"/>
    </row>
    <row r="164">
      <c r="J164" s="7"/>
    </row>
    <row r="165">
      <c r="J165" s="7"/>
    </row>
    <row r="166">
      <c r="J166" s="7"/>
    </row>
    <row r="167">
      <c r="J167" s="7"/>
    </row>
    <row r="168">
      <c r="J168" s="7"/>
    </row>
    <row r="169">
      <c r="J169" s="7"/>
    </row>
    <row r="170">
      <c r="J170" s="7"/>
    </row>
    <row r="171">
      <c r="J171" s="7"/>
    </row>
    <row r="172">
      <c r="J172" s="7"/>
    </row>
    <row r="173">
      <c r="J173" s="7"/>
    </row>
    <row r="174">
      <c r="J174" s="7"/>
    </row>
    <row r="175">
      <c r="J175" s="7"/>
    </row>
    <row r="176">
      <c r="J176" s="7"/>
    </row>
    <row r="177">
      <c r="J177" s="7"/>
    </row>
    <row r="178">
      <c r="J178" s="7"/>
    </row>
    <row r="179">
      <c r="J179" s="7"/>
    </row>
    <row r="180">
      <c r="J180" s="7"/>
    </row>
    <row r="181">
      <c r="J181" s="7"/>
    </row>
    <row r="182">
      <c r="J182" s="7"/>
    </row>
    <row r="183">
      <c r="J183" s="7"/>
    </row>
    <row r="184">
      <c r="J184" s="7"/>
    </row>
    <row r="185">
      <c r="J185" s="7"/>
    </row>
    <row r="186">
      <c r="J186" s="7"/>
    </row>
    <row r="187">
      <c r="J187" s="7"/>
    </row>
    <row r="188">
      <c r="J188" s="7"/>
    </row>
    <row r="189">
      <c r="J189" s="7"/>
    </row>
    <row r="190">
      <c r="J190" s="7"/>
    </row>
    <row r="191">
      <c r="J191" s="7"/>
    </row>
    <row r="192">
      <c r="J192" s="7"/>
    </row>
    <row r="193">
      <c r="J193" s="7"/>
    </row>
    <row r="194">
      <c r="J194" s="7"/>
    </row>
    <row r="195">
      <c r="J195" s="7"/>
    </row>
    <row r="196">
      <c r="J196" s="7"/>
    </row>
    <row r="197">
      <c r="J197" s="7"/>
    </row>
    <row r="198">
      <c r="J198" s="7"/>
    </row>
    <row r="199">
      <c r="J199" s="7"/>
    </row>
    <row r="200">
      <c r="J200" s="7"/>
    </row>
    <row r="201">
      <c r="J201" s="7"/>
    </row>
    <row r="202">
      <c r="J202" s="7"/>
    </row>
    <row r="203">
      <c r="J203" s="7"/>
    </row>
    <row r="204">
      <c r="J204" s="7"/>
    </row>
    <row r="205">
      <c r="J205" s="7"/>
    </row>
    <row r="206">
      <c r="J206" s="7"/>
    </row>
    <row r="207">
      <c r="J207" s="7"/>
    </row>
    <row r="208">
      <c r="J208" s="7"/>
    </row>
    <row r="209">
      <c r="J209" s="7"/>
    </row>
    <row r="210">
      <c r="J210" s="7"/>
    </row>
    <row r="211">
      <c r="J211" s="7"/>
    </row>
    <row r="212">
      <c r="J212" s="7"/>
    </row>
    <row r="213">
      <c r="J213" s="7"/>
    </row>
    <row r="214">
      <c r="J214" s="7"/>
    </row>
    <row r="215">
      <c r="J215" s="7"/>
    </row>
    <row r="216">
      <c r="J216" s="7"/>
    </row>
    <row r="217">
      <c r="J217" s="7"/>
    </row>
    <row r="218">
      <c r="J218" s="7"/>
    </row>
    <row r="219">
      <c r="J219" s="7"/>
    </row>
    <row r="220">
      <c r="J220" s="7"/>
    </row>
    <row r="221">
      <c r="J221" s="7"/>
    </row>
    <row r="222">
      <c r="J222" s="7"/>
    </row>
    <row r="223">
      <c r="J223" s="7"/>
    </row>
    <row r="224">
      <c r="J224" s="7"/>
    </row>
    <row r="225">
      <c r="J225" s="7"/>
    </row>
    <row r="226">
      <c r="J226" s="7"/>
    </row>
    <row r="227">
      <c r="J227" s="7"/>
    </row>
    <row r="228">
      <c r="J228" s="7"/>
    </row>
    <row r="229">
      <c r="J229" s="7"/>
    </row>
    <row r="230">
      <c r="J230" s="7"/>
    </row>
    <row r="231">
      <c r="J231" s="7"/>
    </row>
    <row r="232">
      <c r="J232" s="7"/>
    </row>
    <row r="233">
      <c r="J233" s="7"/>
    </row>
    <row r="234">
      <c r="J234" s="7"/>
    </row>
    <row r="235">
      <c r="J235" s="7"/>
    </row>
    <row r="236">
      <c r="J236" s="7"/>
    </row>
    <row r="237">
      <c r="J237" s="7"/>
    </row>
    <row r="238">
      <c r="J238" s="7"/>
    </row>
    <row r="239">
      <c r="J239" s="7"/>
    </row>
    <row r="240">
      <c r="J240" s="7"/>
    </row>
    <row r="241">
      <c r="J241" s="7"/>
    </row>
    <row r="242">
      <c r="J242" s="7"/>
    </row>
    <row r="243">
      <c r="J243" s="7"/>
    </row>
    <row r="244">
      <c r="J244" s="7"/>
    </row>
    <row r="245">
      <c r="J245" s="7"/>
    </row>
    <row r="246">
      <c r="J246" s="7"/>
    </row>
    <row r="247">
      <c r="J247" s="7"/>
    </row>
    <row r="248">
      <c r="J248" s="7"/>
    </row>
    <row r="249">
      <c r="J249" s="7"/>
    </row>
    <row r="250">
      <c r="J250" s="7"/>
    </row>
    <row r="251">
      <c r="J251" s="7"/>
    </row>
    <row r="252">
      <c r="J252" s="7"/>
    </row>
    <row r="253">
      <c r="J253" s="7"/>
    </row>
    <row r="254">
      <c r="J254" s="7"/>
    </row>
    <row r="255">
      <c r="J255" s="7"/>
    </row>
    <row r="256">
      <c r="J256" s="7"/>
    </row>
    <row r="257">
      <c r="J257" s="7"/>
    </row>
    <row r="258">
      <c r="J258" s="7"/>
    </row>
    <row r="259">
      <c r="J259" s="7"/>
    </row>
    <row r="260">
      <c r="J260" s="7"/>
    </row>
    <row r="261">
      <c r="J261" s="7"/>
    </row>
    <row r="262">
      <c r="J262" s="7"/>
    </row>
    <row r="263">
      <c r="J263" s="7"/>
    </row>
    <row r="264">
      <c r="J264" s="7"/>
    </row>
    <row r="265">
      <c r="J265" s="7"/>
    </row>
    <row r="266">
      <c r="J266" s="7"/>
    </row>
    <row r="267">
      <c r="J267" s="7"/>
    </row>
    <row r="268">
      <c r="J268" s="7"/>
    </row>
    <row r="269">
      <c r="J269" s="7"/>
    </row>
    <row r="270">
      <c r="J270" s="7"/>
    </row>
    <row r="271">
      <c r="J271" s="7"/>
    </row>
    <row r="272">
      <c r="J272" s="7"/>
    </row>
    <row r="273">
      <c r="J273" s="7"/>
    </row>
    <row r="274">
      <c r="J274" s="7"/>
    </row>
    <row r="275">
      <c r="J275" s="7"/>
    </row>
    <row r="276">
      <c r="J276" s="7"/>
    </row>
    <row r="277">
      <c r="J277" s="7"/>
    </row>
    <row r="278">
      <c r="J278" s="7"/>
    </row>
    <row r="279">
      <c r="J279" s="7"/>
    </row>
    <row r="280">
      <c r="J280" s="7"/>
    </row>
    <row r="281">
      <c r="J281" s="7"/>
    </row>
    <row r="282">
      <c r="J282" s="7"/>
    </row>
    <row r="283">
      <c r="J283" s="7"/>
    </row>
    <row r="284">
      <c r="J284" s="7"/>
    </row>
    <row r="285">
      <c r="J285" s="7"/>
    </row>
    <row r="286">
      <c r="J286" s="7"/>
    </row>
    <row r="287">
      <c r="J287" s="7"/>
    </row>
    <row r="288">
      <c r="J288" s="7"/>
    </row>
    <row r="289">
      <c r="J289" s="7"/>
    </row>
    <row r="290">
      <c r="J290" s="7"/>
    </row>
    <row r="291">
      <c r="J291" s="7"/>
    </row>
    <row r="292">
      <c r="J292" s="7"/>
    </row>
    <row r="293">
      <c r="J293" s="7"/>
    </row>
    <row r="294">
      <c r="J294" s="7"/>
    </row>
    <row r="295">
      <c r="J295" s="7"/>
    </row>
    <row r="296">
      <c r="J296" s="7"/>
    </row>
    <row r="297">
      <c r="J297" s="7"/>
    </row>
    <row r="298">
      <c r="J298" s="7"/>
    </row>
    <row r="299">
      <c r="J299" s="7"/>
    </row>
    <row r="300">
      <c r="J300" s="7"/>
    </row>
    <row r="301">
      <c r="J301" s="7"/>
    </row>
    <row r="302">
      <c r="J302" s="7"/>
    </row>
    <row r="303">
      <c r="J303" s="7"/>
    </row>
    <row r="304">
      <c r="J304" s="7"/>
    </row>
    <row r="305">
      <c r="J305" s="7"/>
    </row>
    <row r="306">
      <c r="J306" s="7"/>
    </row>
    <row r="307">
      <c r="J307" s="7"/>
    </row>
    <row r="308">
      <c r="J308" s="7"/>
    </row>
    <row r="309">
      <c r="J309" s="7"/>
    </row>
    <row r="310">
      <c r="J310" s="7"/>
    </row>
    <row r="311">
      <c r="J311" s="7"/>
    </row>
    <row r="312">
      <c r="J312" s="7"/>
    </row>
    <row r="313">
      <c r="J313" s="7"/>
    </row>
    <row r="314">
      <c r="J314" s="7"/>
    </row>
    <row r="315">
      <c r="J315" s="7"/>
    </row>
    <row r="316">
      <c r="J316" s="7"/>
    </row>
    <row r="317">
      <c r="J317" s="7"/>
    </row>
    <row r="318">
      <c r="J318" s="7"/>
    </row>
    <row r="319">
      <c r="J319" s="7"/>
    </row>
    <row r="320">
      <c r="J320" s="7"/>
    </row>
    <row r="321">
      <c r="J321" s="7"/>
    </row>
    <row r="322">
      <c r="J322" s="7"/>
    </row>
    <row r="323">
      <c r="J323" s="7"/>
    </row>
    <row r="324">
      <c r="J324" s="7"/>
    </row>
    <row r="325">
      <c r="J325" s="7"/>
    </row>
    <row r="326">
      <c r="J326" s="7"/>
    </row>
    <row r="327">
      <c r="J327" s="7"/>
    </row>
    <row r="328">
      <c r="J328" s="7"/>
    </row>
    <row r="329">
      <c r="J329" s="7"/>
    </row>
    <row r="330">
      <c r="J330" s="7"/>
    </row>
    <row r="331">
      <c r="J331" s="7"/>
    </row>
    <row r="332">
      <c r="J332" s="7"/>
    </row>
    <row r="333">
      <c r="J333" s="7"/>
    </row>
    <row r="334">
      <c r="J334" s="7"/>
    </row>
    <row r="335">
      <c r="J335" s="7"/>
    </row>
    <row r="336">
      <c r="J336" s="7"/>
    </row>
    <row r="337">
      <c r="J337" s="7"/>
    </row>
    <row r="338">
      <c r="J338" s="7"/>
    </row>
    <row r="339">
      <c r="J339" s="7"/>
    </row>
    <row r="340">
      <c r="J340" s="7"/>
    </row>
    <row r="341">
      <c r="J341" s="7"/>
    </row>
    <row r="342">
      <c r="J342" s="7"/>
    </row>
    <row r="343">
      <c r="J343" s="7"/>
    </row>
    <row r="344">
      <c r="J344" s="7"/>
    </row>
    <row r="345">
      <c r="J345" s="7"/>
    </row>
    <row r="346">
      <c r="J346" s="7"/>
    </row>
    <row r="347">
      <c r="J347" s="7"/>
    </row>
    <row r="348">
      <c r="J348" s="7"/>
    </row>
    <row r="349">
      <c r="J349" s="7"/>
    </row>
    <row r="350">
      <c r="J350" s="7"/>
    </row>
    <row r="351">
      <c r="J351" s="7"/>
    </row>
    <row r="352">
      <c r="J352" s="7"/>
    </row>
    <row r="353">
      <c r="J353" s="7"/>
    </row>
    <row r="354">
      <c r="J354" s="7"/>
    </row>
    <row r="355">
      <c r="J355" s="7"/>
    </row>
    <row r="356">
      <c r="J356" s="7"/>
    </row>
    <row r="357">
      <c r="J357" s="7"/>
    </row>
    <row r="358">
      <c r="J358" s="7"/>
    </row>
    <row r="359">
      <c r="J359" s="7"/>
    </row>
    <row r="360">
      <c r="J360" s="7"/>
    </row>
    <row r="361">
      <c r="J361" s="7"/>
    </row>
    <row r="362">
      <c r="J362" s="7"/>
    </row>
    <row r="363">
      <c r="J363" s="7"/>
    </row>
    <row r="364">
      <c r="J364" s="7"/>
    </row>
    <row r="365">
      <c r="J365" s="7"/>
    </row>
    <row r="366">
      <c r="J366" s="7"/>
    </row>
    <row r="367">
      <c r="J367" s="7"/>
    </row>
    <row r="368">
      <c r="J368" s="7"/>
    </row>
    <row r="369">
      <c r="J369" s="7"/>
    </row>
    <row r="370">
      <c r="J370" s="7"/>
    </row>
    <row r="371">
      <c r="J371" s="7"/>
    </row>
    <row r="372">
      <c r="J372" s="7"/>
    </row>
    <row r="373">
      <c r="J373" s="7"/>
    </row>
    <row r="374">
      <c r="J374" s="7"/>
    </row>
    <row r="375">
      <c r="J375" s="7"/>
    </row>
    <row r="376">
      <c r="J376" s="7"/>
    </row>
    <row r="377">
      <c r="J377" s="7"/>
    </row>
    <row r="378">
      <c r="J378" s="7"/>
    </row>
    <row r="379">
      <c r="J379" s="7"/>
    </row>
    <row r="380">
      <c r="J380" s="7"/>
    </row>
    <row r="381">
      <c r="J381" s="7"/>
    </row>
    <row r="382">
      <c r="J382" s="7"/>
    </row>
    <row r="383">
      <c r="J383" s="7"/>
    </row>
    <row r="384">
      <c r="J384" s="7"/>
    </row>
    <row r="385">
      <c r="J385" s="7"/>
    </row>
    <row r="386">
      <c r="J386" s="7"/>
    </row>
    <row r="387">
      <c r="J387" s="7"/>
    </row>
    <row r="388">
      <c r="J388" s="7"/>
    </row>
    <row r="389">
      <c r="J389" s="7"/>
    </row>
    <row r="390">
      <c r="J390" s="7"/>
    </row>
    <row r="391">
      <c r="J391" s="7"/>
    </row>
    <row r="392">
      <c r="J392" s="7"/>
    </row>
    <row r="393">
      <c r="J393" s="7"/>
    </row>
    <row r="394">
      <c r="J394" s="7"/>
    </row>
    <row r="395">
      <c r="J395" s="7"/>
    </row>
    <row r="396">
      <c r="J396" s="7"/>
    </row>
    <row r="397">
      <c r="J397" s="7"/>
    </row>
    <row r="398">
      <c r="J398" s="7"/>
    </row>
    <row r="399">
      <c r="J399" s="7"/>
    </row>
    <row r="400">
      <c r="J400" s="7"/>
    </row>
    <row r="401">
      <c r="J401" s="7"/>
    </row>
    <row r="402">
      <c r="J402" s="7"/>
    </row>
    <row r="403">
      <c r="J403" s="7"/>
    </row>
    <row r="404">
      <c r="J404" s="7"/>
    </row>
    <row r="405">
      <c r="J405" s="7"/>
    </row>
    <row r="406">
      <c r="J406" s="7"/>
    </row>
    <row r="407">
      <c r="J407" s="7"/>
    </row>
    <row r="408">
      <c r="J408" s="7"/>
    </row>
    <row r="409">
      <c r="J409" s="7"/>
    </row>
    <row r="410">
      <c r="J410" s="7"/>
    </row>
    <row r="411">
      <c r="J411" s="7"/>
    </row>
    <row r="412">
      <c r="J412" s="7"/>
    </row>
    <row r="413">
      <c r="J413" s="7"/>
    </row>
    <row r="414">
      <c r="J414" s="7"/>
    </row>
    <row r="415">
      <c r="J415" s="7"/>
    </row>
    <row r="416">
      <c r="J416" s="7"/>
    </row>
    <row r="417">
      <c r="J417" s="7"/>
    </row>
    <row r="418">
      <c r="J418" s="7"/>
    </row>
    <row r="419">
      <c r="J419" s="7"/>
    </row>
    <row r="420">
      <c r="J420" s="7"/>
    </row>
    <row r="421">
      <c r="J421" s="7"/>
    </row>
    <row r="422">
      <c r="J422" s="7"/>
    </row>
    <row r="423">
      <c r="J423" s="7"/>
    </row>
    <row r="424">
      <c r="J424" s="7"/>
    </row>
    <row r="425">
      <c r="J425" s="7"/>
    </row>
    <row r="426">
      <c r="J426" s="7"/>
    </row>
    <row r="427">
      <c r="J427" s="7"/>
    </row>
    <row r="428">
      <c r="J428" s="7"/>
    </row>
    <row r="429">
      <c r="J429" s="7"/>
    </row>
    <row r="430">
      <c r="J430" s="7"/>
    </row>
    <row r="431">
      <c r="J431" s="7"/>
    </row>
    <row r="432">
      <c r="J432" s="7"/>
    </row>
    <row r="433">
      <c r="J433" s="7"/>
    </row>
    <row r="434">
      <c r="J434" s="7"/>
    </row>
    <row r="435">
      <c r="J435" s="7"/>
    </row>
    <row r="436">
      <c r="J436" s="7"/>
    </row>
    <row r="437">
      <c r="J437" s="7"/>
    </row>
    <row r="438">
      <c r="J438" s="7"/>
    </row>
    <row r="439">
      <c r="J439" s="7"/>
    </row>
    <row r="440">
      <c r="J440" s="7"/>
    </row>
    <row r="441">
      <c r="J441" s="7"/>
    </row>
    <row r="442">
      <c r="J442" s="7"/>
    </row>
    <row r="443">
      <c r="J443" s="7"/>
    </row>
    <row r="444">
      <c r="J444" s="7"/>
    </row>
    <row r="445">
      <c r="J445" s="7"/>
    </row>
    <row r="446">
      <c r="J446" s="7"/>
    </row>
    <row r="447">
      <c r="J447" s="7"/>
    </row>
    <row r="448">
      <c r="J448" s="7"/>
    </row>
    <row r="449">
      <c r="J449" s="7"/>
    </row>
    <row r="450">
      <c r="J450" s="7"/>
    </row>
    <row r="451">
      <c r="J451" s="7"/>
    </row>
    <row r="452">
      <c r="J452" s="7"/>
    </row>
    <row r="453">
      <c r="J453" s="7"/>
    </row>
    <row r="454">
      <c r="J454" s="7"/>
    </row>
    <row r="455">
      <c r="J455" s="7"/>
    </row>
    <row r="456">
      <c r="J456" s="7"/>
    </row>
    <row r="457">
      <c r="J457" s="7"/>
    </row>
    <row r="458">
      <c r="J458" s="7"/>
    </row>
    <row r="459">
      <c r="J459" s="7"/>
    </row>
    <row r="460">
      <c r="J460" s="7"/>
    </row>
    <row r="461">
      <c r="J461" s="7"/>
    </row>
    <row r="462">
      <c r="J462" s="7"/>
    </row>
    <row r="463">
      <c r="J463" s="7"/>
    </row>
    <row r="464">
      <c r="J464" s="7"/>
    </row>
    <row r="465">
      <c r="J465" s="7"/>
    </row>
    <row r="466">
      <c r="J466" s="7"/>
    </row>
    <row r="467">
      <c r="J467" s="7"/>
    </row>
    <row r="468">
      <c r="J468" s="7"/>
    </row>
    <row r="469">
      <c r="J469" s="7"/>
    </row>
    <row r="470">
      <c r="J470" s="7"/>
    </row>
    <row r="471">
      <c r="J471" s="7"/>
    </row>
    <row r="472">
      <c r="J472" s="7"/>
    </row>
    <row r="473">
      <c r="J473" s="7"/>
    </row>
    <row r="474">
      <c r="J474" s="7"/>
    </row>
    <row r="475">
      <c r="J475" s="7"/>
    </row>
    <row r="476">
      <c r="J476" s="7"/>
    </row>
    <row r="477">
      <c r="J477" s="7"/>
    </row>
    <row r="478">
      <c r="J478" s="7"/>
    </row>
    <row r="479">
      <c r="J479" s="7"/>
    </row>
    <row r="480">
      <c r="J480" s="7"/>
    </row>
    <row r="481">
      <c r="J481" s="7"/>
    </row>
    <row r="482">
      <c r="J482" s="7"/>
    </row>
    <row r="483">
      <c r="J483" s="7"/>
    </row>
    <row r="484">
      <c r="J484" s="7"/>
    </row>
    <row r="485">
      <c r="J485" s="7"/>
    </row>
    <row r="486">
      <c r="J486" s="7"/>
    </row>
    <row r="487">
      <c r="J487" s="7"/>
    </row>
    <row r="488">
      <c r="J488" s="7"/>
    </row>
    <row r="489">
      <c r="J489" s="7"/>
    </row>
    <row r="490">
      <c r="J490" s="7"/>
    </row>
    <row r="491">
      <c r="J491" s="7"/>
    </row>
    <row r="492">
      <c r="J492" s="7"/>
    </row>
    <row r="493">
      <c r="J493" s="7"/>
    </row>
    <row r="494">
      <c r="J494" s="7"/>
    </row>
    <row r="495">
      <c r="J495" s="7"/>
    </row>
    <row r="496">
      <c r="J496" s="7"/>
    </row>
    <row r="497">
      <c r="J497" s="7"/>
    </row>
    <row r="498">
      <c r="J498" s="7"/>
    </row>
    <row r="499">
      <c r="J499" s="7"/>
    </row>
    <row r="500">
      <c r="J500" s="7"/>
    </row>
    <row r="501">
      <c r="J501" s="7"/>
    </row>
    <row r="502">
      <c r="J502" s="7"/>
    </row>
    <row r="503">
      <c r="J503" s="7"/>
    </row>
    <row r="504">
      <c r="J504" s="7"/>
    </row>
    <row r="505">
      <c r="J505" s="7"/>
    </row>
    <row r="506">
      <c r="J506" s="7"/>
    </row>
    <row r="507">
      <c r="J507" s="7"/>
    </row>
    <row r="508">
      <c r="J508" s="7"/>
    </row>
    <row r="509">
      <c r="J509" s="7"/>
    </row>
    <row r="510">
      <c r="J510" s="7"/>
    </row>
    <row r="511">
      <c r="J511" s="7"/>
    </row>
    <row r="512">
      <c r="J512" s="7"/>
    </row>
    <row r="513">
      <c r="J513" s="7"/>
    </row>
    <row r="514">
      <c r="J514" s="7"/>
    </row>
    <row r="515">
      <c r="J515" s="7"/>
    </row>
    <row r="516">
      <c r="J516" s="7"/>
    </row>
    <row r="517">
      <c r="J517" s="7"/>
    </row>
    <row r="518">
      <c r="J518" s="7"/>
    </row>
    <row r="519">
      <c r="J519" s="7"/>
    </row>
    <row r="520">
      <c r="J520" s="7"/>
    </row>
    <row r="521">
      <c r="J521" s="7"/>
    </row>
    <row r="522">
      <c r="J522" s="7"/>
    </row>
    <row r="523">
      <c r="J523" s="7"/>
    </row>
    <row r="524">
      <c r="J524" s="7"/>
    </row>
    <row r="525">
      <c r="J525" s="7"/>
    </row>
    <row r="526">
      <c r="J526" s="7"/>
    </row>
    <row r="527">
      <c r="J527" s="7"/>
    </row>
    <row r="528">
      <c r="J528" s="7"/>
    </row>
    <row r="529">
      <c r="J529" s="7"/>
    </row>
    <row r="530">
      <c r="J530" s="7"/>
    </row>
    <row r="531">
      <c r="J531" s="7"/>
    </row>
    <row r="532">
      <c r="J532" s="7"/>
    </row>
    <row r="533">
      <c r="J533" s="7"/>
    </row>
    <row r="534">
      <c r="J534" s="7"/>
    </row>
    <row r="535">
      <c r="J535" s="7"/>
    </row>
    <row r="536">
      <c r="J536" s="7"/>
    </row>
    <row r="537">
      <c r="J537" s="7"/>
    </row>
    <row r="538">
      <c r="J538" s="7"/>
    </row>
    <row r="539">
      <c r="J539" s="7"/>
    </row>
    <row r="540">
      <c r="J540" s="7"/>
    </row>
    <row r="541">
      <c r="J541" s="7"/>
    </row>
    <row r="542">
      <c r="J542" s="7"/>
    </row>
    <row r="543">
      <c r="J543" s="7"/>
    </row>
    <row r="544">
      <c r="J544" s="7"/>
    </row>
    <row r="545">
      <c r="J545" s="7"/>
    </row>
    <row r="546">
      <c r="J546" s="7"/>
    </row>
    <row r="547">
      <c r="J547" s="7"/>
    </row>
    <row r="548">
      <c r="J548" s="7"/>
    </row>
    <row r="549">
      <c r="J549" s="7"/>
    </row>
    <row r="550">
      <c r="J550" s="7"/>
    </row>
    <row r="551">
      <c r="J551" s="7"/>
    </row>
    <row r="552">
      <c r="J552" s="7"/>
    </row>
    <row r="553">
      <c r="J553" s="7"/>
    </row>
    <row r="554">
      <c r="J554" s="7"/>
    </row>
    <row r="555">
      <c r="J555" s="7"/>
    </row>
    <row r="556">
      <c r="J556" s="7"/>
    </row>
    <row r="557">
      <c r="J557" s="7"/>
    </row>
    <row r="558">
      <c r="J558" s="7"/>
    </row>
    <row r="559">
      <c r="J559" s="7"/>
    </row>
    <row r="560">
      <c r="J560" s="7"/>
    </row>
    <row r="561">
      <c r="J561" s="7"/>
    </row>
    <row r="562">
      <c r="J562" s="7"/>
    </row>
    <row r="563">
      <c r="J563" s="7"/>
    </row>
    <row r="564">
      <c r="J564" s="7"/>
    </row>
    <row r="565">
      <c r="J565" s="7"/>
    </row>
    <row r="566">
      <c r="J566" s="7"/>
    </row>
    <row r="567">
      <c r="J567" s="7"/>
    </row>
    <row r="568">
      <c r="J568" s="7"/>
    </row>
    <row r="569">
      <c r="J569" s="7"/>
    </row>
    <row r="570">
      <c r="J570" s="7"/>
    </row>
    <row r="571">
      <c r="J571" s="7"/>
    </row>
    <row r="572">
      <c r="J572" s="7"/>
    </row>
    <row r="573">
      <c r="J573" s="7"/>
    </row>
    <row r="574">
      <c r="J574" s="7"/>
    </row>
    <row r="575">
      <c r="J575" s="7"/>
    </row>
    <row r="576">
      <c r="J576" s="7"/>
    </row>
    <row r="577">
      <c r="J577" s="7"/>
    </row>
    <row r="578">
      <c r="J578" s="7"/>
    </row>
    <row r="579">
      <c r="J579" s="7"/>
    </row>
    <row r="580">
      <c r="J580" s="7"/>
    </row>
    <row r="581">
      <c r="J581" s="7"/>
    </row>
    <row r="582">
      <c r="J582" s="7"/>
    </row>
    <row r="583">
      <c r="J583" s="7"/>
    </row>
    <row r="584">
      <c r="J584" s="7"/>
    </row>
    <row r="585">
      <c r="J585" s="7"/>
    </row>
    <row r="586">
      <c r="J586" s="7"/>
    </row>
    <row r="587">
      <c r="J587" s="7"/>
    </row>
    <row r="588">
      <c r="J588" s="7"/>
    </row>
    <row r="589">
      <c r="J589" s="7"/>
    </row>
    <row r="590">
      <c r="J590" s="7"/>
    </row>
    <row r="591">
      <c r="J591" s="7"/>
    </row>
    <row r="592">
      <c r="J592" s="7"/>
    </row>
    <row r="593">
      <c r="J593" s="7"/>
    </row>
    <row r="594">
      <c r="J594" s="7"/>
    </row>
    <row r="595">
      <c r="J595" s="7"/>
    </row>
    <row r="596">
      <c r="J596" s="7"/>
    </row>
    <row r="597">
      <c r="J597" s="7"/>
    </row>
    <row r="598">
      <c r="J598" s="7"/>
    </row>
    <row r="599">
      <c r="J599" s="7"/>
    </row>
    <row r="600">
      <c r="J600" s="7"/>
    </row>
    <row r="601">
      <c r="J601" s="7"/>
    </row>
    <row r="602">
      <c r="J602" s="7"/>
    </row>
    <row r="603">
      <c r="J603" s="7"/>
    </row>
    <row r="604">
      <c r="J604" s="7"/>
    </row>
    <row r="605">
      <c r="J605" s="7"/>
    </row>
    <row r="606">
      <c r="J606" s="7"/>
    </row>
    <row r="607">
      <c r="J607" s="7"/>
    </row>
    <row r="608">
      <c r="J608" s="7"/>
    </row>
    <row r="609">
      <c r="J609" s="7"/>
    </row>
    <row r="610">
      <c r="J610" s="7"/>
    </row>
    <row r="611">
      <c r="J611" s="7"/>
    </row>
    <row r="612">
      <c r="J612" s="7"/>
    </row>
    <row r="613">
      <c r="J613" s="7"/>
    </row>
    <row r="614">
      <c r="J614" s="7"/>
    </row>
    <row r="615">
      <c r="J615" s="7"/>
    </row>
    <row r="616">
      <c r="J616" s="7"/>
    </row>
    <row r="617">
      <c r="J617" s="7"/>
    </row>
    <row r="618">
      <c r="J618" s="7"/>
    </row>
    <row r="619">
      <c r="J619" s="7"/>
    </row>
    <row r="620">
      <c r="J620" s="7"/>
    </row>
    <row r="621">
      <c r="J621" s="7"/>
    </row>
    <row r="622">
      <c r="J622" s="7"/>
    </row>
    <row r="623">
      <c r="J623" s="7"/>
    </row>
    <row r="624">
      <c r="J624" s="7"/>
    </row>
    <row r="625">
      <c r="J625" s="7"/>
    </row>
    <row r="626">
      <c r="J626" s="7"/>
    </row>
    <row r="627">
      <c r="J627" s="7"/>
    </row>
    <row r="628">
      <c r="J628" s="7"/>
    </row>
    <row r="629">
      <c r="J629" s="7"/>
    </row>
    <row r="630">
      <c r="J630" s="7"/>
    </row>
    <row r="631">
      <c r="J631" s="7"/>
    </row>
    <row r="632">
      <c r="J632" s="7"/>
    </row>
    <row r="633">
      <c r="J633" s="7"/>
    </row>
    <row r="634">
      <c r="J634" s="7"/>
    </row>
    <row r="635">
      <c r="J635" s="7"/>
    </row>
    <row r="636">
      <c r="J636" s="7"/>
    </row>
    <row r="637">
      <c r="J637" s="7"/>
    </row>
    <row r="638">
      <c r="J638" s="7"/>
    </row>
    <row r="639">
      <c r="J639" s="7"/>
    </row>
    <row r="640">
      <c r="J640" s="7"/>
    </row>
    <row r="641">
      <c r="J641" s="7"/>
    </row>
    <row r="642">
      <c r="J642" s="7"/>
    </row>
    <row r="643">
      <c r="J643" s="7"/>
    </row>
    <row r="644">
      <c r="J644" s="7"/>
    </row>
    <row r="645">
      <c r="J645" s="7"/>
    </row>
    <row r="646">
      <c r="J646" s="7"/>
    </row>
    <row r="647">
      <c r="J647" s="7"/>
    </row>
    <row r="648">
      <c r="J648" s="7"/>
    </row>
    <row r="649">
      <c r="J649" s="7"/>
    </row>
    <row r="650">
      <c r="J650" s="7"/>
    </row>
    <row r="651">
      <c r="J651" s="7"/>
    </row>
    <row r="652">
      <c r="J652" s="7"/>
    </row>
    <row r="653">
      <c r="J653" s="7"/>
    </row>
    <row r="654">
      <c r="J654" s="7"/>
    </row>
    <row r="655">
      <c r="J655" s="7"/>
    </row>
    <row r="656">
      <c r="J656" s="7"/>
    </row>
    <row r="657">
      <c r="J657" s="7"/>
    </row>
    <row r="658">
      <c r="J658" s="7"/>
    </row>
    <row r="659">
      <c r="J659" s="7"/>
    </row>
    <row r="660">
      <c r="J660" s="7"/>
    </row>
    <row r="661">
      <c r="J661" s="7"/>
    </row>
    <row r="662">
      <c r="J662" s="7"/>
    </row>
    <row r="663">
      <c r="J663" s="7"/>
    </row>
    <row r="664">
      <c r="J664" s="7"/>
    </row>
    <row r="665">
      <c r="J665" s="7"/>
    </row>
    <row r="666">
      <c r="J666" s="7"/>
    </row>
    <row r="667">
      <c r="J667" s="7"/>
    </row>
    <row r="668">
      <c r="J668" s="7"/>
    </row>
    <row r="669">
      <c r="J669" s="7"/>
    </row>
    <row r="670">
      <c r="J670" s="7"/>
    </row>
    <row r="671">
      <c r="J671" s="7"/>
    </row>
    <row r="672">
      <c r="J672" s="7"/>
    </row>
    <row r="673">
      <c r="J673" s="7"/>
    </row>
    <row r="674">
      <c r="J674" s="7"/>
    </row>
    <row r="675">
      <c r="J675" s="7"/>
    </row>
    <row r="676">
      <c r="J676" s="7"/>
    </row>
    <row r="677">
      <c r="J677" s="7"/>
    </row>
    <row r="678">
      <c r="J678" s="7"/>
    </row>
    <row r="679">
      <c r="J679" s="7"/>
    </row>
    <row r="680">
      <c r="J680" s="7"/>
    </row>
    <row r="681">
      <c r="J681" s="7"/>
    </row>
    <row r="682">
      <c r="J682" s="7"/>
    </row>
    <row r="683">
      <c r="J683" s="7"/>
    </row>
    <row r="684">
      <c r="J684" s="7"/>
    </row>
    <row r="685">
      <c r="J685" s="7"/>
    </row>
    <row r="686">
      <c r="J686" s="7"/>
    </row>
    <row r="687">
      <c r="J687" s="7"/>
    </row>
    <row r="688">
      <c r="J688" s="7"/>
    </row>
    <row r="689">
      <c r="J689" s="7"/>
    </row>
    <row r="690">
      <c r="J690" s="7"/>
    </row>
    <row r="691">
      <c r="J691" s="7"/>
    </row>
    <row r="692">
      <c r="J692" s="7"/>
    </row>
    <row r="693">
      <c r="J693" s="7"/>
    </row>
    <row r="694">
      <c r="J694" s="7"/>
    </row>
    <row r="695">
      <c r="J695" s="7"/>
    </row>
    <row r="696">
      <c r="J696" s="7"/>
    </row>
    <row r="697">
      <c r="J697" s="7"/>
    </row>
    <row r="698">
      <c r="J698" s="7"/>
    </row>
    <row r="699">
      <c r="J699" s="7"/>
    </row>
    <row r="700">
      <c r="J700" s="7"/>
    </row>
    <row r="701">
      <c r="J701" s="7"/>
    </row>
    <row r="702">
      <c r="J702" s="7"/>
    </row>
    <row r="703">
      <c r="J703" s="7"/>
    </row>
    <row r="704">
      <c r="J704" s="7"/>
    </row>
    <row r="705">
      <c r="J705" s="7"/>
    </row>
    <row r="706">
      <c r="J706" s="7"/>
    </row>
    <row r="707">
      <c r="J707" s="7"/>
    </row>
    <row r="708">
      <c r="J708" s="7"/>
    </row>
    <row r="709">
      <c r="J709" s="7"/>
    </row>
    <row r="710">
      <c r="J710" s="7"/>
    </row>
    <row r="711">
      <c r="J711" s="7"/>
    </row>
    <row r="712">
      <c r="J712" s="7"/>
    </row>
    <row r="713">
      <c r="J713" s="7"/>
    </row>
    <row r="714">
      <c r="J714" s="7"/>
    </row>
    <row r="715">
      <c r="J715" s="7"/>
    </row>
    <row r="716">
      <c r="J716" s="7"/>
    </row>
    <row r="717">
      <c r="J717" s="7"/>
    </row>
    <row r="718">
      <c r="J718" s="7"/>
    </row>
    <row r="719">
      <c r="J719" s="7"/>
    </row>
    <row r="720">
      <c r="J720" s="7"/>
    </row>
    <row r="721">
      <c r="J721" s="7"/>
    </row>
    <row r="722">
      <c r="J722" s="7"/>
    </row>
    <row r="723">
      <c r="J723" s="7"/>
    </row>
    <row r="724">
      <c r="J724" s="7"/>
    </row>
    <row r="725">
      <c r="J725" s="7"/>
    </row>
    <row r="726">
      <c r="J726" s="7"/>
    </row>
    <row r="727">
      <c r="J727" s="7"/>
    </row>
    <row r="728">
      <c r="J728" s="7"/>
    </row>
    <row r="729">
      <c r="J729" s="7"/>
    </row>
    <row r="730">
      <c r="J730" s="7"/>
    </row>
    <row r="731">
      <c r="J731" s="7"/>
    </row>
    <row r="732">
      <c r="J732" s="7"/>
    </row>
    <row r="733">
      <c r="J733" s="7"/>
    </row>
    <row r="734">
      <c r="J734" s="7"/>
    </row>
    <row r="735">
      <c r="J735" s="7"/>
    </row>
    <row r="736">
      <c r="J736" s="7"/>
    </row>
    <row r="737">
      <c r="J737" s="7"/>
    </row>
    <row r="738">
      <c r="J738" s="7"/>
    </row>
    <row r="739">
      <c r="J739" s="7"/>
    </row>
    <row r="740">
      <c r="J740" s="7"/>
    </row>
    <row r="741">
      <c r="J741" s="7"/>
    </row>
    <row r="742">
      <c r="J742" s="7"/>
    </row>
    <row r="743">
      <c r="J743" s="7"/>
    </row>
    <row r="744">
      <c r="J744" s="7"/>
    </row>
    <row r="745">
      <c r="J745" s="7"/>
    </row>
    <row r="746">
      <c r="J746" s="7"/>
    </row>
    <row r="747">
      <c r="J747" s="7"/>
    </row>
    <row r="748">
      <c r="J748" s="7"/>
    </row>
    <row r="749">
      <c r="J749" s="7"/>
    </row>
    <row r="750">
      <c r="J750" s="7"/>
    </row>
    <row r="751">
      <c r="J751" s="7"/>
    </row>
    <row r="752">
      <c r="J752" s="7"/>
    </row>
    <row r="753">
      <c r="J753" s="7"/>
    </row>
    <row r="754">
      <c r="J754" s="7"/>
    </row>
    <row r="755">
      <c r="J755" s="7"/>
    </row>
    <row r="756">
      <c r="J756" s="7"/>
    </row>
    <row r="757">
      <c r="J757" s="7"/>
    </row>
    <row r="758">
      <c r="J758" s="7"/>
    </row>
    <row r="759">
      <c r="J759" s="7"/>
    </row>
    <row r="760">
      <c r="J760" s="7"/>
    </row>
    <row r="761">
      <c r="J761" s="7"/>
    </row>
    <row r="762">
      <c r="J762" s="7"/>
    </row>
    <row r="763">
      <c r="J763" s="7"/>
    </row>
    <row r="764">
      <c r="J764" s="7"/>
    </row>
    <row r="765">
      <c r="J765" s="7"/>
    </row>
    <row r="766">
      <c r="J766" s="7"/>
    </row>
    <row r="767">
      <c r="J767" s="7"/>
    </row>
    <row r="768">
      <c r="J768" s="7"/>
    </row>
    <row r="769">
      <c r="J769" s="7"/>
    </row>
    <row r="770">
      <c r="J770" s="7"/>
    </row>
    <row r="771">
      <c r="J771" s="7"/>
    </row>
    <row r="772">
      <c r="J772" s="7"/>
    </row>
    <row r="773">
      <c r="J773" s="7"/>
    </row>
    <row r="774">
      <c r="J774" s="7"/>
    </row>
    <row r="775">
      <c r="J775" s="7"/>
    </row>
    <row r="776">
      <c r="J776" s="7"/>
    </row>
    <row r="777">
      <c r="J777" s="7"/>
    </row>
    <row r="778">
      <c r="J778" s="7"/>
    </row>
    <row r="779">
      <c r="J779" s="7"/>
    </row>
    <row r="780">
      <c r="J780" s="7"/>
    </row>
    <row r="781">
      <c r="J781" s="7"/>
    </row>
    <row r="782">
      <c r="J782" s="7"/>
    </row>
    <row r="783">
      <c r="J783" s="7"/>
    </row>
    <row r="784">
      <c r="J784" s="7"/>
    </row>
    <row r="785">
      <c r="J785" s="7"/>
    </row>
    <row r="786">
      <c r="J786" s="7"/>
    </row>
    <row r="787">
      <c r="J787" s="7"/>
    </row>
    <row r="788">
      <c r="J788" s="7"/>
    </row>
    <row r="789">
      <c r="J789" s="7"/>
    </row>
    <row r="790">
      <c r="J790" s="7"/>
    </row>
    <row r="791">
      <c r="J791" s="7"/>
    </row>
    <row r="792">
      <c r="J792" s="7"/>
    </row>
    <row r="793">
      <c r="J793" s="7"/>
    </row>
    <row r="794">
      <c r="J794" s="7"/>
    </row>
    <row r="795">
      <c r="J795" s="7"/>
    </row>
    <row r="796">
      <c r="J796" s="7"/>
    </row>
    <row r="797">
      <c r="J797" s="7"/>
    </row>
    <row r="798">
      <c r="J798" s="7"/>
    </row>
    <row r="799">
      <c r="J799" s="7"/>
    </row>
    <row r="800">
      <c r="J800" s="7"/>
    </row>
    <row r="801">
      <c r="J801" s="7"/>
    </row>
    <row r="802">
      <c r="J802" s="7"/>
    </row>
    <row r="803">
      <c r="J803" s="7"/>
    </row>
    <row r="804">
      <c r="J804" s="7"/>
    </row>
    <row r="805">
      <c r="J805" s="7"/>
    </row>
    <row r="806">
      <c r="J806" s="7"/>
    </row>
    <row r="807">
      <c r="J807" s="7"/>
    </row>
    <row r="808">
      <c r="J808" s="7"/>
    </row>
    <row r="809">
      <c r="J809" s="7"/>
    </row>
    <row r="810">
      <c r="J810" s="7"/>
    </row>
    <row r="811">
      <c r="J811" s="7"/>
    </row>
    <row r="812">
      <c r="J812" s="7"/>
    </row>
    <row r="813">
      <c r="J813" s="7"/>
    </row>
    <row r="814">
      <c r="J814" s="7"/>
    </row>
    <row r="815">
      <c r="J815" s="7"/>
    </row>
    <row r="816">
      <c r="J816" s="7"/>
    </row>
    <row r="817">
      <c r="J817" s="7"/>
    </row>
    <row r="818">
      <c r="J818" s="7"/>
    </row>
    <row r="819">
      <c r="J819" s="7"/>
    </row>
    <row r="820">
      <c r="J820" s="7"/>
    </row>
    <row r="821">
      <c r="J821" s="7"/>
    </row>
    <row r="822">
      <c r="J822" s="7"/>
    </row>
    <row r="823">
      <c r="J823" s="7"/>
    </row>
    <row r="824">
      <c r="J824" s="7"/>
    </row>
    <row r="825">
      <c r="J825" s="7"/>
    </row>
    <row r="826">
      <c r="J826" s="7"/>
    </row>
    <row r="827">
      <c r="J827" s="7"/>
    </row>
    <row r="828">
      <c r="J828" s="7"/>
    </row>
    <row r="829">
      <c r="J829" s="7"/>
    </row>
    <row r="830">
      <c r="J830" s="7"/>
    </row>
    <row r="831">
      <c r="J831" s="7"/>
    </row>
    <row r="832">
      <c r="J832" s="7"/>
    </row>
    <row r="833">
      <c r="J833" s="7"/>
    </row>
    <row r="834">
      <c r="J834" s="7"/>
    </row>
    <row r="835">
      <c r="J835" s="7"/>
    </row>
    <row r="836">
      <c r="J836" s="7"/>
    </row>
    <row r="837">
      <c r="J837" s="7"/>
    </row>
    <row r="838">
      <c r="J838" s="7"/>
    </row>
    <row r="839">
      <c r="J839" s="7"/>
    </row>
    <row r="840">
      <c r="J840" s="7"/>
    </row>
    <row r="841">
      <c r="J841" s="7"/>
    </row>
    <row r="842">
      <c r="J842" s="7"/>
    </row>
    <row r="843">
      <c r="J843" s="7"/>
    </row>
    <row r="844">
      <c r="J844" s="7"/>
    </row>
    <row r="845">
      <c r="J845" s="7"/>
    </row>
    <row r="846">
      <c r="J846" s="7"/>
    </row>
    <row r="847">
      <c r="J847" s="7"/>
    </row>
    <row r="848">
      <c r="J848" s="7"/>
    </row>
    <row r="849">
      <c r="J849" s="7"/>
    </row>
    <row r="850">
      <c r="J850" s="7"/>
    </row>
    <row r="851">
      <c r="J851" s="7"/>
    </row>
    <row r="852">
      <c r="J852" s="7"/>
    </row>
    <row r="853">
      <c r="J853" s="7"/>
    </row>
    <row r="854">
      <c r="J854" s="7"/>
    </row>
    <row r="855">
      <c r="J855" s="7"/>
    </row>
    <row r="856">
      <c r="J856" s="7"/>
    </row>
    <row r="857">
      <c r="J857" s="7"/>
    </row>
    <row r="858">
      <c r="J858" s="7"/>
    </row>
    <row r="859">
      <c r="J859" s="7"/>
    </row>
    <row r="860">
      <c r="J860" s="7"/>
    </row>
    <row r="861">
      <c r="J861" s="7"/>
    </row>
    <row r="862">
      <c r="J862" s="7"/>
    </row>
    <row r="863">
      <c r="J863" s="7"/>
    </row>
    <row r="864">
      <c r="J864" s="7"/>
    </row>
    <row r="865">
      <c r="J865" s="7"/>
    </row>
    <row r="866">
      <c r="J866" s="7"/>
    </row>
    <row r="867">
      <c r="J867" s="7"/>
    </row>
    <row r="868">
      <c r="J868" s="7"/>
    </row>
    <row r="869">
      <c r="J869" s="7"/>
    </row>
    <row r="870">
      <c r="J870" s="7"/>
    </row>
    <row r="871">
      <c r="J871" s="7"/>
    </row>
    <row r="872">
      <c r="J872" s="7"/>
    </row>
    <row r="873">
      <c r="J873" s="7"/>
    </row>
    <row r="874">
      <c r="J874" s="7"/>
    </row>
    <row r="875">
      <c r="J875" s="7"/>
    </row>
    <row r="876">
      <c r="J876" s="7"/>
    </row>
    <row r="877">
      <c r="J877" s="7"/>
    </row>
    <row r="878">
      <c r="J878" s="7"/>
    </row>
    <row r="879">
      <c r="J879" s="7"/>
    </row>
    <row r="880">
      <c r="J880" s="7"/>
    </row>
    <row r="881">
      <c r="J881" s="7"/>
    </row>
    <row r="882">
      <c r="J882" s="7"/>
    </row>
    <row r="883">
      <c r="J883" s="7"/>
    </row>
    <row r="884">
      <c r="J884" s="7"/>
    </row>
    <row r="885">
      <c r="J885" s="7"/>
    </row>
    <row r="886">
      <c r="J886" s="7"/>
    </row>
    <row r="887">
      <c r="J887" s="7"/>
    </row>
    <row r="888">
      <c r="J888" s="7"/>
    </row>
    <row r="889">
      <c r="J889" s="7"/>
    </row>
    <row r="890">
      <c r="J890" s="7"/>
    </row>
    <row r="891">
      <c r="J891" s="7"/>
    </row>
    <row r="892">
      <c r="J892" s="7"/>
    </row>
    <row r="893">
      <c r="J893" s="7"/>
    </row>
    <row r="894">
      <c r="J894" s="7"/>
    </row>
    <row r="895">
      <c r="J895" s="7"/>
    </row>
    <row r="896">
      <c r="J896" s="7"/>
    </row>
    <row r="897">
      <c r="J897" s="7"/>
    </row>
    <row r="898">
      <c r="J898" s="7"/>
    </row>
    <row r="899">
      <c r="J899" s="7"/>
    </row>
    <row r="900">
      <c r="J900" s="7"/>
    </row>
    <row r="901">
      <c r="J901" s="7"/>
    </row>
    <row r="902">
      <c r="J902" s="7"/>
    </row>
    <row r="903">
      <c r="J903" s="7"/>
    </row>
    <row r="904">
      <c r="J904" s="7"/>
    </row>
    <row r="905">
      <c r="J905" s="7"/>
    </row>
    <row r="906">
      <c r="J906" s="7"/>
    </row>
    <row r="907">
      <c r="J907" s="7"/>
    </row>
    <row r="908">
      <c r="J908" s="7"/>
    </row>
    <row r="909">
      <c r="J909" s="7"/>
    </row>
    <row r="910">
      <c r="J910" s="7"/>
    </row>
    <row r="911">
      <c r="J911" s="7"/>
    </row>
    <row r="912">
      <c r="J912" s="7"/>
    </row>
    <row r="913">
      <c r="J913" s="7"/>
    </row>
    <row r="914">
      <c r="J914" s="7"/>
    </row>
    <row r="915">
      <c r="J915" s="7"/>
    </row>
    <row r="916">
      <c r="J916" s="7"/>
    </row>
    <row r="917">
      <c r="J917" s="7"/>
    </row>
    <row r="918">
      <c r="J918" s="7"/>
    </row>
    <row r="919">
      <c r="J919" s="7"/>
    </row>
    <row r="920">
      <c r="J920" s="7"/>
    </row>
    <row r="921">
      <c r="J921" s="7"/>
    </row>
    <row r="922">
      <c r="J922" s="7"/>
    </row>
    <row r="923">
      <c r="J923" s="7"/>
    </row>
    <row r="924">
      <c r="J924" s="7"/>
    </row>
    <row r="925">
      <c r="J925" s="7"/>
    </row>
    <row r="926">
      <c r="J926" s="7"/>
    </row>
    <row r="927">
      <c r="J927" s="7"/>
    </row>
    <row r="928">
      <c r="J928" s="7"/>
    </row>
    <row r="929">
      <c r="J929" s="7"/>
    </row>
    <row r="930">
      <c r="J930" s="7"/>
    </row>
    <row r="931">
      <c r="J931" s="7"/>
    </row>
    <row r="932">
      <c r="J932" s="7"/>
    </row>
    <row r="933">
      <c r="J933" s="7"/>
    </row>
    <row r="934">
      <c r="J934" s="7"/>
    </row>
    <row r="935">
      <c r="J935" s="7"/>
    </row>
    <row r="936">
      <c r="J936" s="7"/>
    </row>
    <row r="937">
      <c r="J937" s="7"/>
    </row>
    <row r="938">
      <c r="J938" s="7"/>
    </row>
    <row r="939">
      <c r="J939" s="7"/>
    </row>
    <row r="940">
      <c r="J940" s="7"/>
    </row>
    <row r="941">
      <c r="J941" s="7"/>
    </row>
    <row r="942">
      <c r="J942" s="7"/>
    </row>
    <row r="943">
      <c r="J943" s="7"/>
    </row>
    <row r="944">
      <c r="J944" s="7"/>
    </row>
    <row r="945">
      <c r="J945" s="7"/>
    </row>
    <row r="946">
      <c r="J946" s="7"/>
    </row>
    <row r="947">
      <c r="J947" s="7"/>
    </row>
    <row r="948">
      <c r="J948" s="7"/>
    </row>
    <row r="949">
      <c r="J949" s="7"/>
    </row>
    <row r="950">
      <c r="J950" s="7"/>
    </row>
    <row r="951">
      <c r="J951" s="7"/>
    </row>
    <row r="952">
      <c r="J952" s="7"/>
    </row>
    <row r="953">
      <c r="J953" s="7"/>
    </row>
    <row r="954">
      <c r="J954" s="7"/>
    </row>
    <row r="955">
      <c r="J955" s="7"/>
    </row>
    <row r="956">
      <c r="J956" s="7"/>
    </row>
    <row r="957">
      <c r="J957" s="7"/>
    </row>
    <row r="958">
      <c r="J958" s="7"/>
    </row>
    <row r="959">
      <c r="J959" s="7"/>
    </row>
    <row r="960">
      <c r="J960" s="7"/>
    </row>
    <row r="961">
      <c r="J961" s="7"/>
    </row>
    <row r="962">
      <c r="J962" s="7"/>
    </row>
    <row r="963">
      <c r="J963" s="7"/>
    </row>
    <row r="964">
      <c r="J964" s="7"/>
    </row>
    <row r="965">
      <c r="J965" s="7"/>
    </row>
    <row r="966">
      <c r="J966" s="7"/>
    </row>
    <row r="967">
      <c r="J967" s="7"/>
    </row>
    <row r="968">
      <c r="J968" s="7"/>
    </row>
    <row r="969">
      <c r="J969" s="7"/>
    </row>
    <row r="970">
      <c r="J970" s="7"/>
    </row>
    <row r="971">
      <c r="J971" s="7"/>
    </row>
    <row r="972">
      <c r="J972" s="7"/>
    </row>
    <row r="973">
      <c r="J973" s="7"/>
    </row>
    <row r="974">
      <c r="J974" s="7"/>
    </row>
    <row r="975">
      <c r="J975" s="7"/>
    </row>
    <row r="976">
      <c r="J976" s="7"/>
    </row>
    <row r="977">
      <c r="J977" s="7"/>
    </row>
    <row r="978">
      <c r="J978" s="7"/>
    </row>
    <row r="979">
      <c r="J979" s="7"/>
    </row>
    <row r="980">
      <c r="J980" s="7"/>
    </row>
    <row r="981">
      <c r="J981" s="7"/>
    </row>
    <row r="982">
      <c r="J982" s="7"/>
    </row>
    <row r="983">
      <c r="J983" s="7"/>
    </row>
    <row r="984">
      <c r="J984" s="7"/>
    </row>
    <row r="985">
      <c r="J985" s="7"/>
    </row>
    <row r="986">
      <c r="J986" s="7"/>
    </row>
    <row r="987">
      <c r="J987" s="7"/>
    </row>
    <row r="988">
      <c r="J988" s="7"/>
    </row>
    <row r="989">
      <c r="J989" s="7"/>
    </row>
    <row r="990">
      <c r="J990" s="7"/>
    </row>
    <row r="991">
      <c r="J991" s="7"/>
    </row>
    <row r="992">
      <c r="J992" s="7"/>
    </row>
    <row r="993">
      <c r="J993" s="7"/>
    </row>
    <row r="994">
      <c r="J994" s="7"/>
    </row>
    <row r="995">
      <c r="J995" s="7"/>
    </row>
    <row r="996">
      <c r="J996" s="7"/>
    </row>
    <row r="997">
      <c r="J997" s="7"/>
    </row>
    <row r="998">
      <c r="J998" s="7"/>
    </row>
    <row r="999">
      <c r="J999" s="7"/>
    </row>
    <row r="1000">
      <c r="J1000" s="7"/>
    </row>
  </sheetData>
  <drawing r:id="rId1"/>
</worksheet>
</file>